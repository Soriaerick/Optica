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 VPRO\Downloads\"/>
    </mc:Choice>
  </mc:AlternateContent>
  <xr:revisionPtr revIDLastSave="0" documentId="8_{3892983D-58BF-4B64-B355-FDE485FA9DCB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CRONOGRAMA" sheetId="1" r:id="rId1"/>
    <sheet name="PLAN DE COMUNICACIÓN" sheetId="2" r:id="rId2"/>
    <sheet name="PLAN DE LOS INTERESADOS" sheetId="3" r:id="rId3"/>
    <sheet name="PLAN DE COSTOS " sheetId="4" r:id="rId4"/>
    <sheet name="PLAN DE CALIDAD" sheetId="5" r:id="rId5"/>
    <sheet name="PLAN DE RIESGOS - SEGURIDAD " sheetId="6" r:id="rId6"/>
  </sheets>
  <calcPr calcId="191029"/>
  <extLst>
    <ext uri="GoogleSheetsCustomDataVersion2">
      <go:sheetsCustomData xmlns:go="http://customooxmlschemas.google.com/" r:id="rId10" roundtripDataChecksum="VN4rmVT/fMLZ1pNvhyVDv+sdVLArO1ALZTSkt8kjqRE="/>
    </ext>
  </extLst>
</workbook>
</file>

<file path=xl/calcChain.xml><?xml version="1.0" encoding="utf-8"?>
<calcChain xmlns="http://schemas.openxmlformats.org/spreadsheetml/2006/main">
  <c r="I34" i="4" l="1"/>
  <c r="F34" i="4"/>
  <c r="I33" i="4"/>
  <c r="I31" i="4"/>
  <c r="F31" i="4"/>
  <c r="F29" i="4"/>
  <c r="F28" i="4"/>
  <c r="I28" i="4" s="1"/>
  <c r="I29" i="4" s="1"/>
  <c r="I25" i="4"/>
  <c r="H25" i="4"/>
  <c r="F25" i="4"/>
  <c r="I23" i="4"/>
  <c r="F23" i="4"/>
  <c r="I21" i="4"/>
  <c r="F21" i="4"/>
  <c r="H18" i="4"/>
  <c r="F18" i="4"/>
  <c r="I18" i="4" s="1"/>
  <c r="F17" i="4"/>
  <c r="I17" i="4" s="1"/>
  <c r="H16" i="4"/>
  <c r="F16" i="4"/>
  <c r="F19" i="4" s="1"/>
  <c r="H15" i="4"/>
  <c r="F15" i="4"/>
  <c r="I15" i="4" s="1"/>
  <c r="H14" i="4"/>
  <c r="I14" i="4" s="1"/>
  <c r="F14" i="4"/>
  <c r="F11" i="4"/>
  <c r="I11" i="4" s="1"/>
  <c r="F10" i="4"/>
  <c r="I10" i="4" s="1"/>
  <c r="I9" i="4"/>
  <c r="F9" i="4"/>
  <c r="F8" i="4"/>
  <c r="I8" i="4" s="1"/>
  <c r="F7" i="4"/>
  <c r="I7" i="4" s="1"/>
  <c r="I12" i="4" l="1"/>
  <c r="I16" i="4"/>
  <c r="I19" i="4" s="1"/>
  <c r="C38" i="4" s="1"/>
  <c r="E38" i="4" s="1"/>
  <c r="F12" i="4"/>
  <c r="G39" i="4" l="1"/>
  <c r="H39" i="4" s="1"/>
  <c r="I39" i="4" s="1"/>
  <c r="G38" i="4"/>
  <c r="H38" i="4" s="1"/>
  <c r="I38" i="4" s="1"/>
</calcChain>
</file>

<file path=xl/sharedStrings.xml><?xml version="1.0" encoding="utf-8"?>
<sst xmlns="http://schemas.openxmlformats.org/spreadsheetml/2006/main" count="380" uniqueCount="290">
  <si>
    <t xml:space="preserve">TAREAS A REALIZAR </t>
  </si>
  <si>
    <t>I. PLANEACION</t>
  </si>
  <si>
    <t>II.ANALISIS</t>
  </si>
  <si>
    <t>III.DISEÑO</t>
  </si>
  <si>
    <t>IV.DESARROLLO</t>
  </si>
  <si>
    <t>V.PRUEBAS</t>
  </si>
  <si>
    <t>VI.IMPLEMENTACION</t>
  </si>
  <si>
    <t>PLAN DE COMUNICACIÓN</t>
  </si>
  <si>
    <t xml:space="preserve">FECHA: </t>
  </si>
  <si>
    <t>CANAL</t>
  </si>
  <si>
    <t>DESCRIPCIÓN</t>
  </si>
  <si>
    <t>OBJETIVO</t>
  </si>
  <si>
    <t>FRECUENCIA</t>
  </si>
  <si>
    <t>ASINCRONICA</t>
  </si>
  <si>
    <t>PARTICIPANTES INTERESADOS</t>
  </si>
  <si>
    <t xml:space="preserve">ROL </t>
  </si>
  <si>
    <t xml:space="preserve">Foro de discusión </t>
  </si>
  <si>
    <t>Plataforma en línea donde los miembros del equipo pueden plantear preguntas, compartir ideas y discutir temas relacionados con el proyecto.</t>
  </si>
  <si>
    <t>Fomentar la colaboración y el intercambio de conocimientos entre los miembros del equipo.</t>
  </si>
  <si>
    <t>Mensual</t>
  </si>
  <si>
    <t xml:space="preserve">Si </t>
  </si>
  <si>
    <t xml:space="preserve">	Todos los miembros del equipo</t>
  </si>
  <si>
    <t>TODOS LOS MIEMBROS DEL EQUIPO</t>
  </si>
  <si>
    <t xml:space="preserve">Whatsapp </t>
  </si>
  <si>
    <t>Mantener a todos los miembros del equipo informados sobre el progreso y los hitos del proyecto.</t>
  </si>
  <si>
    <t>Continua</t>
  </si>
  <si>
    <t>Comunicación rápida y formal para discutir temas urgentes o resolver problemas de manera ágil y reuniones regulares del equipo de proyecto para discutir avances, problemas y próximos pasos.</t>
  </si>
  <si>
    <t>Facilitar la comunicación inmediata entre los miembros del equipo.</t>
  </si>
  <si>
    <t>Semanalmente</t>
  </si>
  <si>
    <t>Administración y gestión de un proyecto</t>
  </si>
  <si>
    <t>Planificación y desarrollo del proyecto</t>
  </si>
  <si>
    <t>Reuniones de equipo</t>
  </si>
  <si>
    <t>Reuniones regulares del equipo de proyecto para discutir avances, problemas y próximos pasos.</t>
  </si>
  <si>
    <t>Facilitar la comunicación en tiempo real, resolver problemas y tomar decisiones.</t>
  </si>
  <si>
    <t xml:space="preserve">Quincenalmente	 </t>
  </si>
  <si>
    <t>No</t>
  </si>
  <si>
    <t xml:space="preserve">GERENTE DE PROYECTO, EQUIPO DEL PROYECTO </t>
  </si>
  <si>
    <t>PLAN DE GESTIÓN DE LOS INTERESADOS</t>
  </si>
  <si>
    <t xml:space="preserve">PROYECTO: </t>
  </si>
  <si>
    <t xml:space="preserve">Información del Proyecto: </t>
  </si>
  <si>
    <t>Sistema de gestión de servicios Plataforma web</t>
  </si>
  <si>
    <t>INTERESADOS DEL PROYECTO</t>
  </si>
  <si>
    <t>ALCANCE E IMPACTO DEL PROYECTO SOBRE LOS INTERESADOS</t>
  </si>
  <si>
    <t>ESTRATEGIAS PARA LA GESTIÓN DE LOS INTERESADOS DEL PROYECTO</t>
  </si>
  <si>
    <t>NIVEL DE PARTICIPACIÓN</t>
  </si>
  <si>
    <t>PUNTOS</t>
  </si>
  <si>
    <t xml:space="preserve">Gerencia	</t>
  </si>
  <si>
    <t>La alta dirección tiene un interés directo en el éxito del proyecto, ya que afectará la eficiencia operativa, los costos y la satisfacción del cliente de la empresa.</t>
  </si>
  <si>
    <t>Programar reuniones regulares de seguimiento, proporcionar informes de progreso detallados y obtener su aprobación en hitos importantes del proyecto.</t>
  </si>
  <si>
    <t>Prioridad Media - Alta</t>
  </si>
  <si>
    <t>Departamento de Finanzas</t>
  </si>
  <si>
    <t>El departamento de Finanzas supervisará los costos del proyecto y evaluará su impacto en el presupuesto de la empresa.</t>
  </si>
  <si>
    <t>Proporcionar informes financieros regulares y asegurarse de que el proyecto esté alineado con las metas financieras de la empresa.</t>
  </si>
  <si>
    <t>Prioridad Media</t>
  </si>
  <si>
    <t>Departamento de TI</t>
  </si>
  <si>
    <t>El departamento de TI proporcionará apoyo técnico y asistencia en la implementación de soluciones tecnológicas para el proyecto.</t>
  </si>
  <si>
    <t>Colaborar estrechamente con el departamento de TI para garantizar la integración adecuada de sistemas y la seguridad de la información.</t>
  </si>
  <si>
    <t>Empleados de la empresa</t>
  </si>
  <si>
    <t>Los empleados de la empresa estarán involucrados en la implementación de los cambios resultantes del proyecto y podrían experimentar cambios en sus responsabilidades y procesos de trabajo.</t>
  </si>
  <si>
    <t>Comunicar abiertamente los beneficios del proyecto, proporcionar capacitación adecuada y oportunidades para comentarios y preguntas.</t>
  </si>
  <si>
    <t>Clientes</t>
  </si>
  <si>
    <t>Los clientes de la empresa se verán afectados por cualquier mejora en la gestión de pedidos y procesos logísticos, lo que podría conducir a una mayor satisfacción y tiempo de entrega reducido.</t>
  </si>
  <si>
    <t>Mantener a los clientes informados sobre los cambios y mejoras, recopilar retroalimentación regularmente y asegurarse de que sus necesidades sean consideradas en el diseño del proyecto.</t>
  </si>
  <si>
    <t>Prioridad Bajo - Medio</t>
  </si>
  <si>
    <t>Fecha</t>
  </si>
  <si>
    <t>PLAN DE COSTOS</t>
  </si>
  <si>
    <t>UNIDADES</t>
  </si>
  <si>
    <t>CONCEPTO</t>
  </si>
  <si>
    <t>PRECIO</t>
  </si>
  <si>
    <t>COSTO DE CLASIFICACIÓN</t>
  </si>
  <si>
    <t>TIEMPO</t>
  </si>
  <si>
    <t>MESES</t>
  </si>
  <si>
    <t>COSTO MENSUAL</t>
  </si>
  <si>
    <t>COSTO INDIRECTO</t>
  </si>
  <si>
    <t>Renta</t>
  </si>
  <si>
    <t>Teléfono/Internet</t>
  </si>
  <si>
    <t>Papelería</t>
  </si>
  <si>
    <t xml:space="preserve">Artículos de limpieza </t>
  </si>
  <si>
    <t>Mantenimiento instalaciones</t>
  </si>
  <si>
    <t>DEPRECIACIÓN</t>
  </si>
  <si>
    <t>Computadoras</t>
  </si>
  <si>
    <t>4 años</t>
  </si>
  <si>
    <t>Escritorio</t>
  </si>
  <si>
    <t>8 años</t>
  </si>
  <si>
    <t>Silla acojinada</t>
  </si>
  <si>
    <t>Teclado y Mouse</t>
  </si>
  <si>
    <t>1 años</t>
  </si>
  <si>
    <t>Impresora Multifuncional</t>
  </si>
  <si>
    <t>MANO DE OBRA</t>
  </si>
  <si>
    <t>Sueldo de programador/ Diseñador</t>
  </si>
  <si>
    <t>Director del Proyecto</t>
  </si>
  <si>
    <t>AMORTIZACIÓN</t>
  </si>
  <si>
    <t>Licencia ADOBE  - 10 años</t>
  </si>
  <si>
    <t>10 años</t>
  </si>
  <si>
    <t>So Win 11 PRO - 64 bits</t>
  </si>
  <si>
    <t>1 año</t>
  </si>
  <si>
    <t>Certificación JAVA</t>
  </si>
  <si>
    <t>0 año</t>
  </si>
  <si>
    <t>Antivirus Maccaffe</t>
  </si>
  <si>
    <t>MATERIA PRIMA</t>
  </si>
  <si>
    <t>Materiales y suministro de oficina</t>
  </si>
  <si>
    <t>BD Mysql</t>
  </si>
  <si>
    <t>Materiales y suministro de mantenimiento equipos</t>
  </si>
  <si>
    <t>COSTO TOTAL MENSUAL</t>
  </si>
  <si>
    <t>COSTO TOTAL GENERAL</t>
  </si>
  <si>
    <t>MARGEN DE UTILIDAD</t>
  </si>
  <si>
    <t>PRECIO DE PROYECTO</t>
  </si>
  <si>
    <t>TOTAL DE GANANCIAS</t>
  </si>
  <si>
    <t>UTILIDAD MENSUAL</t>
  </si>
  <si>
    <t>Máximos</t>
  </si>
  <si>
    <t>Mínimos</t>
  </si>
  <si>
    <t>PLAN DE CALIDAD</t>
  </si>
  <si>
    <t xml:space="preserve">OBJETIVO DEL PLAN DE CALIDAD </t>
  </si>
  <si>
    <t>Garantizar la entrega de un producto o servicio de alta calidad que cumpla con los requisitos del cliente y las normativas establecidas.</t>
  </si>
  <si>
    <t>ALCANCE DEL PLAN DE CALIDAD</t>
  </si>
  <si>
    <t>Este Plan de Calidad se aplica a todas las actividades relacionadas con el proyecto de optimización de procesos logísticos y gestión de altas, bajas y consultas, desde la planificación hasta la implementación y la entrega.</t>
  </si>
  <si>
    <t>RESPONSABILIDADES</t>
  </si>
  <si>
    <t>ROLES</t>
  </si>
  <si>
    <t xml:space="preserve">RESPONSABILIDADES </t>
  </si>
  <si>
    <t>DIRECTOR DE PROYECTO</t>
  </si>
  <si>
    <t>Supervisar la implementación del Plan de Calidad.</t>
  </si>
  <si>
    <t>Garantizar que se asignen los recursos necesarios para el control de calidad.</t>
  </si>
  <si>
    <t>Gestion de presupuesto</t>
  </si>
  <si>
    <t xml:space="preserve"> Revisar y aprobar los informes de calidad y las acciones correctivas.</t>
  </si>
  <si>
    <t>RESPONSABLE DE CALIDAD</t>
  </si>
  <si>
    <t>Coordinar y supervisar todas las actividades relacionadas con el control de calidad.</t>
  </si>
  <si>
    <t>Desarrollar y mantener el Plan de Calidad actualizado.</t>
  </si>
  <si>
    <t>Realizar auditorías periódicas para evaluar el cumplimiento de los estándares de calidad.</t>
  </si>
  <si>
    <t>PROGRAMADOR/DISEÑADOR</t>
  </si>
  <si>
    <t>Experiencia de Usuario</t>
  </si>
  <si>
    <t>Desarrollo Front-end</t>
  </si>
  <si>
    <t>Optimizacion de herramientas tecnologicas</t>
  </si>
  <si>
    <t xml:space="preserve"> Evaluar la integridad y seguridad de los sistemas informáticos y software utilizados en el proyecto.</t>
  </si>
  <si>
    <t>Implementar medidas de seguridad de la información para proteger los datos del cliente y del proyecto.</t>
  </si>
  <si>
    <t>Colaborar con el equipo de desarrollo para garantizar la integración adecuada de los sistemas de software.</t>
  </si>
  <si>
    <t>PROCESOS DE CONTROL DE CALIDAD</t>
  </si>
  <si>
    <t>PROCESO</t>
  </si>
  <si>
    <t>Pruebas de Funcionalidad</t>
  </si>
  <si>
    <t>Realizar pruebas exhaustivas para garantizar que todas las funciones del software se comporten según lo esperado y cumplan los requisitos.</t>
  </si>
  <si>
    <t>Pruebas de Usabilidad</t>
  </si>
  <si>
    <t>Evaluar la facilidad de uso y la experiencia del usuario para asegurar que el software sea intuitivo y accesible para los usuarios finales.</t>
  </si>
  <si>
    <t xml:space="preserve">Pruebas de Rendimiento	</t>
  </si>
  <si>
    <t>Evaluar el rendimiento del software bajo diferentes cargas de trabajo y situaciones para garantizar su capacidad de respuesta y eficiencia.</t>
  </si>
  <si>
    <t xml:space="preserve">Pruebas de Integración	</t>
  </si>
  <si>
    <t>Verificar la interoperabilidad del software con otros sistemas y componentes para garantizar una integración sin problemas en el entorno.</t>
  </si>
  <si>
    <t xml:space="preserve">Pruebas de Seguridad	</t>
  </si>
  <si>
    <t>Realizar análisis de vulnerabilidades y pruebas de penetración para identificar y corregir posibles riesgos de seguridad en el software.</t>
  </si>
  <si>
    <t xml:space="preserve">Revisión de Código	</t>
  </si>
  <si>
    <t>Realizar revisiones de código periódicas para garantizar la calidad, consistencia y legibilidad del código fuente del software.</t>
  </si>
  <si>
    <t xml:space="preserve">Gestión de Configuración	</t>
  </si>
  <si>
    <t>Establecer y mantener un control de versiones y una gestión adecuada de la configuración del software para garantizar su integridad.</t>
  </si>
  <si>
    <t xml:space="preserve">Monitoreo y Seguimiento Continuo	</t>
  </si>
  <si>
    <t>Implementar herramientas de monitoreo para supervisar continuamente el funcionamiento del software en producción y tomar medidas correctivas si es necesario.</t>
  </si>
  <si>
    <t>PROCESOS DE RECURSOS DE CALIDAD</t>
  </si>
  <si>
    <t>RECURSO</t>
  </si>
  <si>
    <t xml:space="preserve">PERSONAL DE PRUEBAS </t>
  </si>
  <si>
    <t>HERRRAMIENTAS DE PRUEBAS</t>
  </si>
  <si>
    <t>Software y herramientas necesarias para realizar pruebas de funcionalidad, rendimiento y seguridad.</t>
  </si>
  <si>
    <t>ENTORNO DE PRUEBAS</t>
  </si>
  <si>
    <t>Infraestructura de hardware y software dedicada para ejecutar pruebas en un entorno controlado.</t>
  </si>
  <si>
    <t>DOCUMENTACIÓN DE CALIDAD</t>
  </si>
  <si>
    <t>Manuales, procedimientos y documentos de referencia relacionados con el control de calidad del software.</t>
  </si>
  <si>
    <t>CAPACITACIÓN</t>
  </si>
  <si>
    <t>Programas de formación y capacitación para el personal involucrado en actividades de control de calidad.</t>
  </si>
  <si>
    <t>SOPORTE TÉCNICO</t>
  </si>
  <si>
    <t>Acceso a expertos técnicos y recursos de soporte para resolver problemas y responder preguntas técnicas.</t>
  </si>
  <si>
    <t>DOCUMENTACIÓN Y REPORTES</t>
  </si>
  <si>
    <t>Crear documentos de control de calidad, como listas de verificación, informes de inspección y registros de pruebas.</t>
  </si>
  <si>
    <t>Establecer un sistema de reporte para comunicar los hallazgos de calidad al equipo y a la dirección del proyecto.</t>
  </si>
  <si>
    <t>MEJORA CONTINUA</t>
  </si>
  <si>
    <t>Implementar un proceso de retroalimentación para identificar áreas de mejora en el sistema de calidad.</t>
  </si>
  <si>
    <t>Realizar revisiones periódicas para evaluar la eficacia del plan y realizar ajustes según sea necesario.</t>
  </si>
  <si>
    <t>Proporcionar capacitación al personal sobre los estándares de calidad, los procedimientos de control                                                                                                                       y la importancia del cumplimiento de los criterios de calidad.</t>
  </si>
  <si>
    <t>AUDITORÍAS DE CALIDAD</t>
  </si>
  <si>
    <t>Programar auditorías periódicas para evaluar el cumplimiento de los estándares de calidad y la efectividad del plan de calidad.</t>
  </si>
  <si>
    <t>Designar un equipo de auditoría independiente para llevar a cabo las auditorías y emitir informes de hallazgos.</t>
  </si>
  <si>
    <t>CONTROL DE CAMBIOS</t>
  </si>
  <si>
    <t>Establecer un proceso formal para gestionar cambios en los requisitos de calidad y procedimientos de control.</t>
  </si>
  <si>
    <t>Obtener aprobación de la dirección del proyecto antes de implementar cambios significativos en el plan de calidad.</t>
  </si>
  <si>
    <t>CUMPLIMIENTO NORMATIVO</t>
  </si>
  <si>
    <t>Asegurar el cumplimiento de todas las normativas y regulaciones aplicables relacionadas con la calidad en el ámbito del proyecto.</t>
  </si>
  <si>
    <t>COMUNICACIÓN Y COORDINACIÓN</t>
  </si>
  <si>
    <t>Facilitar una comunicación efectiva entre el equipo de calidad y otros equipos del proyecto.</t>
  </si>
  <si>
    <t>Coordinar actividades de calidad con otros procesos del proyecto para garantizar la integración y coherencia.</t>
  </si>
  <si>
    <t>REGISTRO Y SEGUIMIENTO</t>
  </si>
  <si>
    <t>Mantener registros detallados de todas las actividades de control de calidad, hallazgos, acciones correctivas y lecciones aprendidas.</t>
  </si>
  <si>
    <t>Realizar un seguimiento de los indicadores clave de rendimiento relacionados con la calidad y utilizarlos para evaluar el                                               progreso y la efectividad del plan.</t>
  </si>
  <si>
    <t>EVALUACIÓN DE LA SATISFACCIÓN DEL CLIENTE</t>
  </si>
  <si>
    <t>Implementar encuestas o mecanismos de retroalimentación para recopilar la opinión del cliente sobre la calidad del producto o servicio entregado.</t>
  </si>
  <si>
    <t xml:space="preserve">PLAN DE RIESGOS - SEGURIDAD </t>
  </si>
  <si>
    <t xml:space="preserve">ETAPA </t>
  </si>
  <si>
    <t>IDENTIFICACIÓN                   DE RIESGOS</t>
  </si>
  <si>
    <t>Mala gestion de sesiones</t>
  </si>
  <si>
    <t>Falta de requerimientos claros</t>
  </si>
  <si>
    <t>Problemas de integración entre el nuevo software y los sistemas existentes.</t>
  </si>
  <si>
    <t>Errores en la migración de datos.</t>
  </si>
  <si>
    <t>Interrupciones en el suministro de energía que afecten la disponibilidad del sistema.</t>
  </si>
  <si>
    <t>Falta de documentación</t>
  </si>
  <si>
    <t>Errores en la coordinación entre los diferentes departamentos involucrados en el proceso de pedido.</t>
  </si>
  <si>
    <t>Riesgos de seguridad cibernética, como ataques de hackers o pérdida de datos.</t>
  </si>
  <si>
    <t>ANÁLISIS DE RIESGOS</t>
  </si>
  <si>
    <t xml:space="preserve">RIESGO </t>
  </si>
  <si>
    <t>PROBABILIDAD               ( 1 - 5 )</t>
  </si>
  <si>
    <t>IMPACTO ( 1 - 5 )</t>
  </si>
  <si>
    <t>PRIORIDAD (Probabilidad x Impacto)</t>
  </si>
  <si>
    <t>ESTRATEGIAS DE MITIGACIÓN</t>
  </si>
  <si>
    <t>Estructuración de sesiones</t>
  </si>
  <si>
    <t>Especificar requeriminetos funcional y no funcionales</t>
  </si>
  <si>
    <t xml:space="preserve">Problemas de integración con sistemas existentes	</t>
  </si>
  <si>
    <t>Realizar pruebas de integración y ajustes necesarios</t>
  </si>
  <si>
    <t xml:space="preserve">Errores en la migración de datos	</t>
  </si>
  <si>
    <t>Realizar copias de seguridad y pruebas antes de la migración</t>
  </si>
  <si>
    <t xml:space="preserve">Interrupciones en el suministro de energía	</t>
  </si>
  <si>
    <t>Implementar sistemas de respaldo y recuperación</t>
  </si>
  <si>
    <t>Tener un control estructurado de la documentación y respaldo</t>
  </si>
  <si>
    <t xml:space="preserve">Errores en la coordinación entre departamentos	</t>
  </si>
  <si>
    <t>Establecer canales de comunicación claros y reuniones</t>
  </si>
  <si>
    <t>Prueba de detección de errores</t>
  </si>
  <si>
    <t xml:space="preserve">Riesgos de seguridad cibernética	</t>
  </si>
  <si>
    <t>Implementar medidas de seguridad de TI y capacitación</t>
  </si>
  <si>
    <t>VALORACIÓN DE RIESGOS</t>
  </si>
  <si>
    <t>RIESGO</t>
  </si>
  <si>
    <t>PROBABILIDAD                      ( 1 - 5 )</t>
  </si>
  <si>
    <t>PUNTUACIÓN DE RIESGO   (Probabilidad x Impacto)</t>
  </si>
  <si>
    <t>CRITERIO DE TOLERANCIA AL RIESGO</t>
  </si>
  <si>
    <t xml:space="preserve">ACCIONES DE MITIGACIÓN </t>
  </si>
  <si>
    <t>BAJA</t>
  </si>
  <si>
    <t>MEDIA</t>
  </si>
  <si>
    <t>ALTA</t>
  </si>
  <si>
    <t>MANEJO - SOLUCIÓN</t>
  </si>
  <si>
    <t>ESTRATEGIA DE MITIGACIÓN</t>
  </si>
  <si>
    <t>RESPONSABLE</t>
  </si>
  <si>
    <t>PLAZO</t>
  </si>
  <si>
    <t>ESTADO</t>
  </si>
  <si>
    <t>Estructuración de sesiones, jerarquizando por usuarios y administradores</t>
  </si>
  <si>
    <t xml:space="preserve">Equipo de Desarrollo y Equipo de TI	</t>
  </si>
  <si>
    <t xml:space="preserve">Durante todo el proyecto	</t>
  </si>
  <si>
    <t>En Progreso</t>
  </si>
  <si>
    <t xml:space="preserve">Antes de la migración de datos	</t>
  </si>
  <si>
    <t>En Curso</t>
  </si>
  <si>
    <t xml:space="preserve">Realizar pruebas de integración exhaustivas y trabajar en colaboración con el equipo de TI para resolver cualquier problema de compatibilidad.	</t>
  </si>
  <si>
    <t>Durante la fase de implementación del software</t>
  </si>
  <si>
    <t xml:space="preserve">Realizar copias de seguridad de datos antes de la migración y realizar pruebas exhaustivas para garantizar la integridad de los datos después de la migración.	</t>
  </si>
  <si>
    <t xml:space="preserve">Equipo de TI	</t>
  </si>
  <si>
    <t>Pendiente</t>
  </si>
  <si>
    <t xml:space="preserve">Implementar sistemas de respaldo de energía y establecer procedimientos para minimizar el impacto de las interrupciones en el suministro de energía.	</t>
  </si>
  <si>
    <t xml:space="preserve">Equipo de Infraestructura	</t>
  </si>
  <si>
    <t xml:space="preserve">Antes del lanzamiento del proyecto	</t>
  </si>
  <si>
    <t xml:space="preserve">Establecer reuniones regulares entre los departamentos involucrados y utilizar herramientas de colaboración para mejorar la comunicación y coordinación.	</t>
  </si>
  <si>
    <t xml:space="preserve">Equipo de Proyecto	</t>
  </si>
  <si>
    <t xml:space="preserve">Implementar medidas de seguridad de TI, como firewalls y sistemas de detección de intrusiones, y proporcionar capacitación en seguridad cibernética al personal relevante.	</t>
  </si>
  <si>
    <t xml:space="preserve">Equipo de Seguridad de TI	</t>
  </si>
  <si>
    <t xml:space="preserve">     24 de Febrero -  26 de Febrero : Reunion para la definición de roles y cambios de roles. </t>
  </si>
  <si>
    <t xml:space="preserve">      24 de Febrero -  26 de Febrero : Delimitación del proyecto.</t>
  </si>
  <si>
    <t>Febrero</t>
  </si>
  <si>
    <t>Marzo</t>
  </si>
  <si>
    <t>Abril</t>
  </si>
  <si>
    <t>Mayo</t>
  </si>
  <si>
    <t xml:space="preserve">    3 de Marzo - 12 de Marzo : Investigación sobre el sistema a implementar.</t>
  </si>
  <si>
    <t xml:space="preserve">    3 de Marzo - 12 de Marzo :Iniciar con la elaboración documentos sobre el proyecto.</t>
  </si>
  <si>
    <t xml:space="preserve">    12 de Mayo - 14 de Mayo: Pruebas Finales y revisión de resultados. </t>
  </si>
  <si>
    <t xml:space="preserve">    5 de Mayo - 12 de Mayo: Pruebas principales del Sistema. </t>
  </si>
  <si>
    <t xml:space="preserve">    8 de Marzo - 12 de Marzo : Primer Sprint </t>
  </si>
  <si>
    <t xml:space="preserve">    12 de Marzo - 17 de Marzo : Segundo Sprint</t>
  </si>
  <si>
    <t>PROYECTO FINAL ÓPTICA MARQUEZ</t>
  </si>
  <si>
    <t>Sistema de gestión de servicios, compra, reparaciónes y citas.</t>
  </si>
  <si>
    <t>Errores en el aplicativo Framework Django</t>
  </si>
  <si>
    <t>PROYECTO FINAL  ÓPTICA MARQUEZ</t>
  </si>
  <si>
    <t>Proyecto Final : Óptica Marquez</t>
  </si>
  <si>
    <t>PROYECTO FINAL. ÓPTICA MARQUEZ</t>
  </si>
  <si>
    <t xml:space="preserve">    20 de Mayo - 21 de Mayo : Entrega de Proyecto final. </t>
  </si>
  <si>
    <t xml:space="preserve">    19 de Mayo - 21 de Mayo : Configuración y personalización del sistema. </t>
  </si>
  <si>
    <t xml:space="preserve">    12 de Agosto - 14 de Agosto : Instalación y configuración del sistema.  </t>
  </si>
  <si>
    <t xml:space="preserve">                                                                                                        FASES DEL PROYECTO DE ÓPTICA MARQUEZ</t>
  </si>
  <si>
    <t xml:space="preserve">   17 de Marzo - 24 de Marzo : Diseño de la pagina de inicio. </t>
  </si>
  <si>
    <t>Quincenalmente</t>
  </si>
  <si>
    <t>PROGRAMADOR</t>
  </si>
  <si>
    <t xml:space="preserve">   24 de Marzo  - 19 de Marzo : Diseño de la pagina de Productos. </t>
  </si>
  <si>
    <t xml:space="preserve">   19 de Marzo - 31 de Marzo : Diseño de base de datos para recopilar información. </t>
  </si>
  <si>
    <t xml:space="preserve">   31 de Marzo - 7 de Abril : Diseño de procesos y flujos de trabajos. </t>
  </si>
  <si>
    <t xml:space="preserve">    7 de Abril - 16 de Abril : Desarrollo de plane de implementación. </t>
  </si>
  <si>
    <t xml:space="preserve">    16 de Abril - 22 de Abril : Integración de medidas. </t>
  </si>
  <si>
    <t xml:space="preserve">    22 de Abril - 26 de Abril : Desarrollo de la documentación. </t>
  </si>
  <si>
    <t xml:space="preserve">    26 de Abril - 5  de Mayo : Desarrollo de la base de Datos. </t>
  </si>
  <si>
    <t>Ingenieros de pruebas  responsables de la planificación y ejecución de pruebas.</t>
  </si>
  <si>
    <t>Quincenal</t>
  </si>
  <si>
    <t>Comunicacion entre Scrum Master y Product Owner del proyecto</t>
  </si>
  <si>
    <t>Scrum Master y Product Owner</t>
  </si>
  <si>
    <t>Errores en el aplicativo Python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</si>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</sst>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"/>
    <numFmt numFmtId="166" formatCode="&quot;$&quot;#,##0.00"/>
  </numFmts>
  <fonts count="3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22"/>
      <color theme="0"/>
      <name val="Aptos Narrow"/>
    </font>
    <font>
      <sz val="11"/>
      <name val="Aptos Narrow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4"/>
      <color theme="0"/>
      <name val="Aptos Narrow"/>
    </font>
    <font>
      <b/>
      <sz val="14"/>
      <color theme="1"/>
      <name val="Aptos Narrow"/>
    </font>
    <font>
      <b/>
      <sz val="14"/>
      <color rgb="FFFFFFFF"/>
      <name val="Aptos Narrow"/>
    </font>
    <font>
      <b/>
      <sz val="10"/>
      <color theme="1"/>
      <name val="Aptos Narrow"/>
    </font>
    <font>
      <sz val="10"/>
      <color theme="1"/>
      <name val="Aptos Narrow"/>
    </font>
    <font>
      <sz val="10"/>
      <color rgb="FF0D0D0D"/>
      <name val="Aptos Narrow"/>
    </font>
    <font>
      <sz val="8"/>
      <color rgb="FF0D0D0D"/>
      <name val="Quattrocento Sans"/>
    </font>
    <font>
      <b/>
      <sz val="11"/>
      <color theme="0"/>
      <name val="Aptos Narrow"/>
    </font>
    <font>
      <sz val="11"/>
      <color theme="1"/>
      <name val="Arial"/>
    </font>
    <font>
      <b/>
      <sz val="18"/>
      <color theme="1"/>
      <name val="Aptos Narrow"/>
    </font>
    <font>
      <b/>
      <sz val="11"/>
      <color rgb="FFFFFFFF"/>
      <name val="Aptos Narrow"/>
    </font>
    <font>
      <b/>
      <sz val="11"/>
      <color rgb="FF000000"/>
      <name val="Aptos Narrow"/>
    </font>
    <font>
      <b/>
      <sz val="10"/>
      <color rgb="FF000000"/>
      <name val="Aptos Narrow"/>
    </font>
    <font>
      <sz val="10"/>
      <color rgb="FF000000"/>
      <name val="Aptos Narrow"/>
    </font>
    <font>
      <b/>
      <sz val="18"/>
      <color theme="0"/>
      <name val="Aptos Narrow"/>
    </font>
    <font>
      <sz val="14"/>
      <color theme="1"/>
      <name val="Aptos Narrow"/>
    </font>
    <font>
      <b/>
      <sz val="12"/>
      <color theme="0"/>
      <name val="Aptos Narrow"/>
    </font>
    <font>
      <b/>
      <sz val="12"/>
      <color theme="1"/>
      <name val="Aptos Narrow"/>
    </font>
    <font>
      <b/>
      <sz val="16"/>
      <color theme="1"/>
      <name val="Aptos Narrow"/>
    </font>
    <font>
      <sz val="14"/>
      <color theme="1"/>
      <name val="Arial"/>
    </font>
    <font>
      <b/>
      <sz val="16"/>
      <color theme="0"/>
      <name val="Aptos Narrow"/>
    </font>
    <font>
      <sz val="12"/>
      <color theme="1"/>
      <name val="Aptos Narrow"/>
    </font>
    <font>
      <b/>
      <u/>
      <sz val="14"/>
      <color theme="0"/>
      <name val="Aptos Narrow"/>
    </font>
    <font>
      <b/>
      <sz val="14"/>
      <color theme="0"/>
      <name val="Arial Narrow"/>
    </font>
    <font>
      <sz val="8"/>
      <name val="Aptos Narrow"/>
      <scheme val="minor"/>
    </font>
    <font>
      <sz val="11"/>
      <color rgb="FFFFCCCC"/>
      <name val="Aptos Narrow"/>
      <family val="2"/>
      <scheme val="minor"/>
    </font>
    <font>
      <sz val="11"/>
      <color rgb="FF388600"/>
      <name val="Aptos Narrow"/>
      <family val="2"/>
      <scheme val="minor"/>
    </font>
    <font>
      <b/>
      <sz val="22"/>
      <color theme="0"/>
      <name val="Aptos Narrow"/>
      <family val="2"/>
    </font>
  </fonts>
  <fills count="32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1CEEE"/>
        <bgColor rgb="FFF1CEEE"/>
      </patternFill>
    </fill>
    <fill>
      <patternFill patternType="solid">
        <fgColor rgb="FFF6B26B"/>
        <bgColor rgb="FFF6B26B"/>
      </patternFill>
    </fill>
    <fill>
      <patternFill patternType="solid">
        <fgColor rgb="FFE49EDD"/>
        <bgColor rgb="FFE49EDD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A6C9EB"/>
      </patternFill>
    </fill>
    <fill>
      <patternFill patternType="solid">
        <fgColor theme="0"/>
        <bgColor rgb="FFFFC000"/>
      </patternFill>
    </fill>
    <fill>
      <patternFill patternType="solid">
        <fgColor theme="2"/>
        <bgColor rgb="FFFFC000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rgb="FFA6C9EB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78206E"/>
      </patternFill>
    </fill>
    <fill>
      <patternFill patternType="solid">
        <fgColor theme="0"/>
        <bgColor theme="5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rgb="FFD76DCC"/>
      </patternFill>
    </fill>
    <fill>
      <patternFill patternType="solid">
        <fgColor theme="4" tint="0.79998168889431442"/>
        <bgColor rgb="FFF1CEE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rgb="FFD76D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rgb="FFE49EDD"/>
      </patternFill>
    </fill>
    <fill>
      <patternFill patternType="solid">
        <fgColor theme="7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2" fillId="3" borderId="14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3" fillId="0" borderId="0" xfId="0" applyFont="1"/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1" fillId="4" borderId="22" xfId="0" applyFont="1" applyFill="1" applyBorder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17" fillId="5" borderId="14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166" fontId="11" fillId="0" borderId="0" xfId="0" applyNumberFormat="1" applyFont="1"/>
    <xf numFmtId="0" fontId="6" fillId="7" borderId="14" xfId="0" applyFont="1" applyFill="1" applyBorder="1"/>
    <xf numFmtId="166" fontId="6" fillId="7" borderId="14" xfId="0" applyNumberFormat="1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/>
    </xf>
    <xf numFmtId="166" fontId="18" fillId="8" borderId="14" xfId="0" applyNumberFormat="1" applyFont="1" applyFill="1" applyBorder="1" applyAlignment="1">
      <alignment horizontal="center" vertical="center"/>
    </xf>
    <xf numFmtId="166" fontId="17" fillId="5" borderId="14" xfId="0" applyNumberFormat="1" applyFont="1" applyFill="1" applyBorder="1" applyAlignment="1">
      <alignment horizontal="center" vertical="center"/>
    </xf>
    <xf numFmtId="0" fontId="6" fillId="9" borderId="14" xfId="0" applyFont="1" applyFill="1" applyBorder="1"/>
    <xf numFmtId="166" fontId="6" fillId="9" borderId="14" xfId="0" applyNumberFormat="1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/>
    </xf>
    <xf numFmtId="166" fontId="4" fillId="2" borderId="14" xfId="0" applyNumberFormat="1" applyFont="1" applyFill="1" applyBorder="1" applyAlignment="1">
      <alignment horizontal="center" vertical="center"/>
    </xf>
    <xf numFmtId="166" fontId="19" fillId="0" borderId="0" xfId="0" applyNumberFormat="1" applyFont="1"/>
    <xf numFmtId="0" fontId="6" fillId="10" borderId="14" xfId="0" applyFont="1" applyFill="1" applyBorder="1"/>
    <xf numFmtId="166" fontId="6" fillId="10" borderId="14" xfId="0" applyNumberFormat="1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/>
    </xf>
    <xf numFmtId="0" fontId="15" fillId="0" borderId="14" xfId="0" applyFont="1" applyBorder="1"/>
    <xf numFmtId="166" fontId="6" fillId="0" borderId="14" xfId="0" applyNumberFormat="1" applyFont="1" applyBorder="1"/>
    <xf numFmtId="166" fontId="6" fillId="0" borderId="14" xfId="0" applyNumberFormat="1" applyFont="1" applyBorder="1" applyAlignment="1">
      <alignment horizontal="center" vertical="center"/>
    </xf>
    <xf numFmtId="0" fontId="20" fillId="0" borderId="0" xfId="0" applyFont="1"/>
    <xf numFmtId="0" fontId="1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33" xfId="0" applyBorder="1"/>
    <xf numFmtId="0" fontId="6" fillId="12" borderId="34" xfId="0" applyFont="1" applyFill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6" fillId="13" borderId="34" xfId="0" applyFont="1" applyFill="1" applyBorder="1"/>
    <xf numFmtId="0" fontId="6" fillId="11" borderId="39" xfId="0" applyFont="1" applyFill="1" applyBorder="1"/>
    <xf numFmtId="0" fontId="0" fillId="14" borderId="0" xfId="0" applyFill="1"/>
    <xf numFmtId="0" fontId="6" fillId="11" borderId="40" xfId="0" applyFont="1" applyFill="1" applyBorder="1"/>
    <xf numFmtId="0" fontId="0" fillId="15" borderId="34" xfId="0" applyFill="1" applyBorder="1"/>
    <xf numFmtId="0" fontId="6" fillId="11" borderId="34" xfId="0" applyFont="1" applyFill="1" applyBorder="1"/>
    <xf numFmtId="0" fontId="0" fillId="16" borderId="0" xfId="0" applyFill="1"/>
    <xf numFmtId="0" fontId="6" fillId="17" borderId="34" xfId="0" applyFont="1" applyFill="1" applyBorder="1"/>
    <xf numFmtId="0" fontId="6" fillId="18" borderId="41" xfId="0" applyFont="1" applyFill="1" applyBorder="1"/>
    <xf numFmtId="0" fontId="6" fillId="18" borderId="34" xfId="0" applyFont="1" applyFill="1" applyBorder="1"/>
    <xf numFmtId="0" fontId="6" fillId="19" borderId="34" xfId="0" applyFont="1" applyFill="1" applyBorder="1"/>
    <xf numFmtId="0" fontId="6" fillId="20" borderId="34" xfId="0" applyFont="1" applyFill="1" applyBorder="1"/>
    <xf numFmtId="0" fontId="6" fillId="21" borderId="34" xfId="0" applyFont="1" applyFill="1" applyBorder="1"/>
    <xf numFmtId="0" fontId="1" fillId="0" borderId="0" xfId="0" applyFont="1"/>
    <xf numFmtId="0" fontId="0" fillId="22" borderId="0" xfId="0" applyFill="1"/>
    <xf numFmtId="0" fontId="32" fillId="0" borderId="0" xfId="0" applyFont="1"/>
    <xf numFmtId="0" fontId="0" fillId="0" borderId="34" xfId="0" applyBorder="1"/>
    <xf numFmtId="0" fontId="0" fillId="23" borderId="0" xfId="0" applyFill="1"/>
    <xf numFmtId="0" fontId="0" fillId="24" borderId="0" xfId="0" applyFill="1"/>
    <xf numFmtId="0" fontId="33" fillId="14" borderId="0" xfId="0" applyFont="1" applyFill="1"/>
    <xf numFmtId="0" fontId="7" fillId="25" borderId="7" xfId="0" applyFont="1" applyFill="1" applyBorder="1" applyAlignment="1">
      <alignment horizontal="center" vertical="center"/>
    </xf>
    <xf numFmtId="0" fontId="14" fillId="25" borderId="14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4" fillId="25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  <xf numFmtId="0" fontId="7" fillId="25" borderId="1" xfId="0" applyFont="1" applyFill="1" applyBorder="1" applyAlignment="1">
      <alignment horizontal="center" vertical="center"/>
    </xf>
    <xf numFmtId="0" fontId="3" fillId="14" borderId="2" xfId="0" applyFont="1" applyFill="1" applyBorder="1"/>
    <xf numFmtId="0" fontId="3" fillId="14" borderId="3" xfId="0" applyFont="1" applyFill="1" applyBorder="1"/>
    <xf numFmtId="0" fontId="3" fillId="14" borderId="4" xfId="0" applyFont="1" applyFill="1" applyBorder="1"/>
    <xf numFmtId="0" fontId="3" fillId="14" borderId="5" xfId="0" applyFont="1" applyFill="1" applyBorder="1"/>
    <xf numFmtId="0" fontId="3" fillId="14" borderId="6" xfId="0" applyFont="1" applyFill="1" applyBorder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25" borderId="8" xfId="0" applyFont="1" applyFill="1" applyBorder="1" applyAlignment="1">
      <alignment horizontal="center" vertical="center"/>
    </xf>
    <xf numFmtId="0" fontId="3" fillId="14" borderId="9" xfId="0" applyFont="1" applyFill="1" applyBorder="1"/>
    <xf numFmtId="0" fontId="7" fillId="25" borderId="8" xfId="0" applyFont="1" applyFill="1" applyBorder="1" applyAlignment="1">
      <alignment horizontal="center" vertical="center"/>
    </xf>
    <xf numFmtId="0" fontId="3" fillId="14" borderId="10" xfId="0" applyFont="1" applyFill="1" applyBorder="1"/>
    <xf numFmtId="0" fontId="10" fillId="0" borderId="11" xfId="0" applyFont="1" applyBorder="1" applyAlignment="1">
      <alignment horizontal="center" vertical="center" wrapText="1"/>
    </xf>
    <xf numFmtId="0" fontId="3" fillId="0" borderId="12" xfId="0" applyFont="1" applyBorder="1"/>
    <xf numFmtId="0" fontId="11" fillId="0" borderId="11" xfId="0" applyFont="1" applyBorder="1" applyAlignment="1">
      <alignment horizontal="center" vertical="center" wrapText="1"/>
    </xf>
    <xf numFmtId="0" fontId="3" fillId="0" borderId="13" xfId="0" applyFont="1" applyBorder="1"/>
    <xf numFmtId="0" fontId="10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4" fillId="25" borderId="16" xfId="0" applyFont="1" applyFill="1" applyBorder="1" applyAlignment="1">
      <alignment horizontal="center" vertical="center"/>
    </xf>
    <xf numFmtId="0" fontId="3" fillId="14" borderId="17" xfId="0" applyFont="1" applyFill="1" applyBorder="1"/>
    <xf numFmtId="0" fontId="3" fillId="14" borderId="18" xfId="0" applyFont="1" applyFill="1" applyBorder="1"/>
    <xf numFmtId="0" fontId="3" fillId="14" borderId="19" xfId="0" applyFont="1" applyFill="1" applyBorder="1"/>
    <xf numFmtId="0" fontId="3" fillId="14" borderId="20" xfId="0" applyFont="1" applyFill="1" applyBorder="1"/>
    <xf numFmtId="0" fontId="3" fillId="14" borderId="21" xfId="0" applyFont="1" applyFill="1" applyBorder="1"/>
    <xf numFmtId="0" fontId="4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14" fillId="25" borderId="11" xfId="0" applyFont="1" applyFill="1" applyBorder="1" applyAlignment="1">
      <alignment horizontal="center" vertical="center" wrapText="1"/>
    </xf>
    <xf numFmtId="0" fontId="3" fillId="14" borderId="13" xfId="0" applyFont="1" applyFill="1" applyBorder="1"/>
    <xf numFmtId="0" fontId="3" fillId="14" borderId="12" xfId="0" applyFont="1" applyFill="1" applyBorder="1"/>
    <xf numFmtId="0" fontId="14" fillId="25" borderId="11" xfId="0" applyFont="1" applyFill="1" applyBorder="1" applyAlignment="1">
      <alignment horizontal="center" vertical="center"/>
    </xf>
    <xf numFmtId="165" fontId="11" fillId="0" borderId="1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5" borderId="11" xfId="0" applyFont="1" applyFill="1" applyBorder="1" applyAlignment="1">
      <alignment horizontal="center" vertical="center" wrapText="1"/>
    </xf>
    <xf numFmtId="0" fontId="18" fillId="6" borderId="11" xfId="0" applyFont="1" applyFill="1" applyBorder="1"/>
    <xf numFmtId="0" fontId="6" fillId="7" borderId="11" xfId="0" applyFont="1" applyFill="1" applyBorder="1"/>
    <xf numFmtId="0" fontId="6" fillId="0" borderId="11" xfId="0" applyFont="1" applyBorder="1"/>
    <xf numFmtId="0" fontId="6" fillId="9" borderId="11" xfId="0" applyFont="1" applyFill="1" applyBorder="1"/>
    <xf numFmtId="0" fontId="6" fillId="7" borderId="11" xfId="0" applyFont="1" applyFill="1" applyBorder="1" applyAlignment="1">
      <alignment horizontal="left"/>
    </xf>
    <xf numFmtId="0" fontId="6" fillId="9" borderId="11" xfId="0" applyFont="1" applyFill="1" applyBorder="1" applyAlignment="1">
      <alignment horizontal="left"/>
    </xf>
    <xf numFmtId="166" fontId="6" fillId="0" borderId="23" xfId="0" applyNumberFormat="1" applyFont="1" applyBorder="1" applyAlignment="1">
      <alignment horizontal="center" vertical="center"/>
    </xf>
    <xf numFmtId="0" fontId="3" fillId="0" borderId="15" xfId="0" applyFont="1" applyBorder="1"/>
    <xf numFmtId="0" fontId="6" fillId="0" borderId="23" xfId="0" applyFont="1" applyBorder="1" applyAlignment="1">
      <alignment horizontal="center" vertical="center"/>
    </xf>
    <xf numFmtId="0" fontId="6" fillId="10" borderId="11" xfId="0" applyFont="1" applyFill="1" applyBorder="1"/>
    <xf numFmtId="0" fontId="6" fillId="10" borderId="11" xfId="0" applyFont="1" applyFill="1" applyBorder="1" applyAlignment="1">
      <alignment horizontal="left" vertical="top"/>
    </xf>
    <xf numFmtId="0" fontId="6" fillId="0" borderId="16" xfId="0" applyFont="1" applyBorder="1" applyAlignment="1">
      <alignment horizontal="center" vertical="center" wrapText="1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2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8" fillId="26" borderId="16" xfId="0" applyFont="1" applyFill="1" applyBorder="1" applyAlignment="1">
      <alignment horizontal="center" vertical="center" wrapText="1"/>
    </xf>
    <xf numFmtId="0" fontId="3" fillId="27" borderId="17" xfId="0" applyFont="1" applyFill="1" applyBorder="1"/>
    <xf numFmtId="0" fontId="3" fillId="27" borderId="18" xfId="0" applyFont="1" applyFill="1" applyBorder="1"/>
    <xf numFmtId="0" fontId="3" fillId="27" borderId="19" xfId="0" applyFont="1" applyFill="1" applyBorder="1"/>
    <xf numFmtId="0" fontId="3" fillId="27" borderId="20" xfId="0" applyFont="1" applyFill="1" applyBorder="1"/>
    <xf numFmtId="0" fontId="3" fillId="27" borderId="21" xfId="0" applyFont="1" applyFill="1" applyBorder="1"/>
    <xf numFmtId="0" fontId="23" fillId="25" borderId="16" xfId="0" applyFont="1" applyFill="1" applyBorder="1" applyAlignment="1">
      <alignment horizontal="center" vertical="center"/>
    </xf>
    <xf numFmtId="0" fontId="24" fillId="26" borderId="16" xfId="0" applyFont="1" applyFill="1" applyBorder="1" applyAlignment="1">
      <alignment horizontal="center" vertical="center"/>
    </xf>
    <xf numFmtId="0" fontId="6" fillId="25" borderId="11" xfId="0" applyFont="1" applyFill="1" applyBorder="1" applyAlignment="1">
      <alignment horizontal="center" vertical="center"/>
    </xf>
    <xf numFmtId="0" fontId="21" fillId="25" borderId="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22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" fillId="14" borderId="24" xfId="0" applyFont="1" applyFill="1" applyBorder="1"/>
    <xf numFmtId="0" fontId="0" fillId="14" borderId="0" xfId="0" applyFill="1"/>
    <xf numFmtId="0" fontId="3" fillId="14" borderId="25" xfId="0" applyFont="1" applyFill="1" applyBorder="1"/>
    <xf numFmtId="0" fontId="3" fillId="0" borderId="24" xfId="0" applyFont="1" applyBorder="1"/>
    <xf numFmtId="0" fontId="3" fillId="0" borderId="25" xfId="0" applyFont="1" applyBorder="1"/>
    <xf numFmtId="0" fontId="6" fillId="0" borderId="24" xfId="0" applyFont="1" applyBorder="1" applyAlignment="1">
      <alignment horizontal="center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3" fillId="14" borderId="26" xfId="0" applyFont="1" applyFill="1" applyBorder="1"/>
    <xf numFmtId="0" fontId="3" fillId="14" borderId="27" xfId="0" applyFont="1" applyFill="1" applyBorder="1"/>
    <xf numFmtId="0" fontId="6" fillId="0" borderId="19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30" fillId="28" borderId="30" xfId="0" applyFont="1" applyFill="1" applyBorder="1" applyAlignment="1">
      <alignment horizontal="center" vertical="center" wrapText="1"/>
    </xf>
    <xf numFmtId="0" fontId="3" fillId="29" borderId="31" xfId="0" applyFont="1" applyFill="1" applyBorder="1"/>
    <xf numFmtId="0" fontId="3" fillId="29" borderId="32" xfId="0" applyFont="1" applyFill="1" applyBorder="1"/>
    <xf numFmtId="0" fontId="28" fillId="0" borderId="13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 wrapText="1"/>
    </xf>
    <xf numFmtId="0" fontId="28" fillId="30" borderId="11" xfId="0" applyFont="1" applyFill="1" applyBorder="1" applyAlignment="1">
      <alignment horizontal="center" vertical="center" wrapText="1"/>
    </xf>
    <xf numFmtId="0" fontId="3" fillId="31" borderId="12" xfId="0" applyFont="1" applyFill="1" applyBorder="1"/>
    <xf numFmtId="0" fontId="7" fillId="28" borderId="11" xfId="0" applyFont="1" applyFill="1" applyBorder="1" applyAlignment="1">
      <alignment horizontal="center" vertical="center" wrapText="1"/>
    </xf>
    <xf numFmtId="0" fontId="3" fillId="29" borderId="12" xfId="0" applyFont="1" applyFill="1" applyBorder="1"/>
    <xf numFmtId="0" fontId="28" fillId="0" borderId="19" xfId="0" applyFont="1" applyBorder="1" applyAlignment="1">
      <alignment horizontal="center" vertical="center"/>
    </xf>
    <xf numFmtId="0" fontId="7" fillId="28" borderId="16" xfId="0" applyFont="1" applyFill="1" applyBorder="1" applyAlignment="1">
      <alignment horizontal="center" vertical="center"/>
    </xf>
    <xf numFmtId="0" fontId="3" fillId="29" borderId="17" xfId="0" applyFont="1" applyFill="1" applyBorder="1"/>
    <xf numFmtId="0" fontId="3" fillId="29" borderId="18" xfId="0" applyFont="1" applyFill="1" applyBorder="1"/>
    <xf numFmtId="0" fontId="3" fillId="29" borderId="19" xfId="0" applyFont="1" applyFill="1" applyBorder="1"/>
    <xf numFmtId="0" fontId="3" fillId="29" borderId="20" xfId="0" applyFont="1" applyFill="1" applyBorder="1"/>
    <xf numFmtId="0" fontId="3" fillId="29" borderId="21" xfId="0" applyFont="1" applyFill="1" applyBorder="1"/>
    <xf numFmtId="0" fontId="25" fillId="26" borderId="16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27" fillId="28" borderId="16" xfId="0" applyFont="1" applyFill="1" applyBorder="1" applyAlignment="1">
      <alignment horizontal="center" vertical="center"/>
    </xf>
    <xf numFmtId="0" fontId="25" fillId="26" borderId="16" xfId="0" applyFont="1" applyFill="1" applyBorder="1" applyAlignment="1">
      <alignment horizontal="center" vertical="center" textRotation="90" wrapText="1"/>
    </xf>
    <xf numFmtId="0" fontId="3" fillId="27" borderId="24" xfId="0" applyFont="1" applyFill="1" applyBorder="1"/>
    <xf numFmtId="0" fontId="3" fillId="27" borderId="25" xfId="0" applyFont="1" applyFill="1" applyBorder="1"/>
    <xf numFmtId="0" fontId="3" fillId="29" borderId="26" xfId="0" applyFont="1" applyFill="1" applyBorder="1"/>
    <xf numFmtId="0" fontId="3" fillId="29" borderId="5" xfId="0" applyFont="1" applyFill="1" applyBorder="1"/>
    <xf numFmtId="0" fontId="3" fillId="29" borderId="27" xfId="0" applyFont="1" applyFill="1" applyBorder="1"/>
    <xf numFmtId="0" fontId="28" fillId="0" borderId="24" xfId="0" applyFont="1" applyBorder="1" applyAlignment="1">
      <alignment horizontal="center" vertical="center"/>
    </xf>
    <xf numFmtId="0" fontId="7" fillId="28" borderId="28" xfId="0" applyFont="1" applyFill="1" applyBorder="1" applyAlignment="1">
      <alignment horizontal="center" vertical="center"/>
    </xf>
    <xf numFmtId="0" fontId="3" fillId="29" borderId="29" xfId="0" applyFont="1" applyFill="1" applyBorder="1"/>
    <xf numFmtId="0" fontId="7" fillId="28" borderId="16" xfId="0" applyFont="1" applyFill="1" applyBorder="1" applyAlignment="1">
      <alignment horizontal="center" vertical="center" wrapText="1"/>
    </xf>
    <xf numFmtId="0" fontId="29" fillId="28" borderId="16" xfId="0" applyFont="1" applyFill="1" applyBorder="1" applyAlignment="1">
      <alignment horizontal="center" vertical="center"/>
    </xf>
    <xf numFmtId="0" fontId="3" fillId="29" borderId="13" xfId="0" applyFont="1" applyFill="1" applyBorder="1"/>
    <xf numFmtId="0" fontId="28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000"/>
  <sheetViews>
    <sheetView topLeftCell="A5" zoomScale="80" zoomScaleNormal="80" workbookViewId="0">
      <selection activeCell="B20" sqref="B20"/>
    </sheetView>
  </sheetViews>
  <sheetFormatPr baseColWidth="10" defaultColWidth="12.6328125" defaultRowHeight="15" customHeight="1" x14ac:dyDescent="0.35"/>
  <cols>
    <col min="1" max="1" width="10.6328125" customWidth="1"/>
    <col min="2" max="2" width="83" customWidth="1"/>
    <col min="3" max="18" width="4" customWidth="1"/>
    <col min="19" max="26" width="10.6328125" customWidth="1"/>
  </cols>
  <sheetData>
    <row r="1" spans="2:24" ht="14.25" customHeight="1" x14ac:dyDescent="0.35"/>
    <row r="2" spans="2:24" ht="14.25" customHeight="1" x14ac:dyDescent="0.35">
      <c r="B2" s="69" t="s">
        <v>273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61"/>
      <c r="T2" s="61"/>
      <c r="U2" s="61"/>
      <c r="V2" s="61"/>
      <c r="W2" s="61"/>
      <c r="X2" s="44"/>
    </row>
    <row r="3" spans="2:24" ht="14.25" customHeight="1" x14ac:dyDescent="0.35"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61"/>
      <c r="T3" s="61"/>
      <c r="U3" s="61"/>
      <c r="V3" s="61"/>
      <c r="W3" s="61"/>
      <c r="X3" s="44"/>
    </row>
    <row r="4" spans="2:24" ht="14.25" customHeight="1" x14ac:dyDescent="0.35"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61"/>
      <c r="T4" s="61"/>
      <c r="U4" s="61"/>
      <c r="V4" s="61"/>
      <c r="W4" s="61"/>
      <c r="X4" s="44"/>
    </row>
    <row r="5" spans="2:24" ht="14.25" customHeight="1" x14ac:dyDescent="0.35"/>
    <row r="6" spans="2:24" ht="14.25" customHeight="1" x14ac:dyDescent="0.35">
      <c r="B6" s="1" t="s">
        <v>0</v>
      </c>
      <c r="C6" s="71" t="s">
        <v>254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1" t="s">
        <v>255</v>
      </c>
      <c r="O6" s="71"/>
      <c r="P6" s="71"/>
      <c r="Q6" s="71"/>
      <c r="R6" s="71"/>
      <c r="S6" s="65" t="s">
        <v>256</v>
      </c>
      <c r="T6" s="66"/>
      <c r="U6" s="66"/>
      <c r="V6" s="67" t="s">
        <v>257</v>
      </c>
      <c r="W6" s="68"/>
      <c r="X6" s="68"/>
    </row>
    <row r="7" spans="2:24" ht="14.25" customHeight="1" thickBot="1" x14ac:dyDescent="0.4">
      <c r="S7" s="38"/>
    </row>
    <row r="8" spans="2:24" ht="14.25" customHeight="1" x14ac:dyDescent="0.35">
      <c r="B8" s="1" t="s">
        <v>1</v>
      </c>
      <c r="C8" s="36"/>
      <c r="S8" s="39"/>
    </row>
    <row r="9" spans="2:24" ht="14.25" customHeight="1" x14ac:dyDescent="0.35">
      <c r="B9" t="s">
        <v>252</v>
      </c>
      <c r="C9" s="37"/>
      <c r="L9" s="44"/>
      <c r="S9" s="39"/>
    </row>
    <row r="10" spans="2:24" ht="14.25" customHeight="1" x14ac:dyDescent="0.35">
      <c r="B10" t="s">
        <v>253</v>
      </c>
      <c r="C10" s="42"/>
      <c r="L10" s="44"/>
      <c r="S10" s="39"/>
    </row>
    <row r="11" spans="2:24" ht="14.25" customHeight="1" x14ac:dyDescent="0.35">
      <c r="B11" s="1" t="s">
        <v>2</v>
      </c>
      <c r="S11" s="39"/>
    </row>
    <row r="12" spans="2:24" ht="14.25" customHeight="1" x14ac:dyDescent="0.35">
      <c r="B12" t="s">
        <v>258</v>
      </c>
      <c r="D12" s="45"/>
      <c r="M12" s="48"/>
      <c r="S12" s="39"/>
      <c r="U12" s="41"/>
    </row>
    <row r="13" spans="2:24" ht="14.25" customHeight="1" x14ac:dyDescent="0.35">
      <c r="B13" t="s">
        <v>259</v>
      </c>
      <c r="D13" s="47"/>
      <c r="M13" s="48"/>
      <c r="S13" s="39"/>
    </row>
    <row r="14" spans="2:24" ht="14.25" customHeight="1" x14ac:dyDescent="0.35">
      <c r="B14" s="2" t="s">
        <v>262</v>
      </c>
      <c r="D14" s="46"/>
      <c r="E14" s="43"/>
      <c r="O14" s="48"/>
      <c r="S14" s="39"/>
    </row>
    <row r="15" spans="2:24" ht="14.25" customHeight="1" x14ac:dyDescent="0.35">
      <c r="B15" s="2" t="s">
        <v>263</v>
      </c>
      <c r="F15" s="49"/>
      <c r="P15" s="48"/>
      <c r="S15" s="39"/>
    </row>
    <row r="16" spans="2:24" ht="14.25" customHeight="1" x14ac:dyDescent="0.35">
      <c r="B16" s="1" t="s">
        <v>3</v>
      </c>
      <c r="S16" s="39"/>
    </row>
    <row r="17" spans="2:24" ht="14.25" customHeight="1" thickBot="1" x14ac:dyDescent="0.4">
      <c r="B17" s="2" t="s">
        <v>274</v>
      </c>
      <c r="G17" s="51"/>
      <c r="Q17" s="48"/>
      <c r="S17" s="39"/>
    </row>
    <row r="18" spans="2:24" ht="14.25" customHeight="1" thickBot="1" x14ac:dyDescent="0.4">
      <c r="B18" s="2" t="s">
        <v>277</v>
      </c>
      <c r="H18" s="50"/>
      <c r="R18" s="59"/>
      <c r="S18" s="39"/>
    </row>
    <row r="19" spans="2:24" ht="14.25" customHeight="1" thickBot="1" x14ac:dyDescent="0.4">
      <c r="B19" s="2" t="s">
        <v>278</v>
      </c>
      <c r="H19" s="50"/>
      <c r="R19" s="60"/>
      <c r="S19" s="39"/>
    </row>
    <row r="20" spans="2:24" ht="14.25" customHeight="1" x14ac:dyDescent="0.35">
      <c r="B20" s="2" t="s">
        <v>279</v>
      </c>
      <c r="I20" s="51"/>
      <c r="S20" s="39"/>
      <c r="T20" s="60"/>
    </row>
    <row r="21" spans="2:24" ht="14.25" customHeight="1" x14ac:dyDescent="0.35">
      <c r="B21" s="1" t="s">
        <v>4</v>
      </c>
      <c r="S21" s="40"/>
    </row>
    <row r="22" spans="2:24" ht="14.25" customHeight="1" x14ac:dyDescent="0.35">
      <c r="B22" s="2" t="s">
        <v>280</v>
      </c>
      <c r="J22" s="52"/>
    </row>
    <row r="23" spans="2:24" ht="14.25" customHeight="1" x14ac:dyDescent="0.35">
      <c r="B23" s="2" t="s">
        <v>281</v>
      </c>
      <c r="K23" s="52"/>
    </row>
    <row r="24" spans="2:24" ht="14.25" customHeight="1" x14ac:dyDescent="0.35">
      <c r="B24" s="2" t="s">
        <v>282</v>
      </c>
      <c r="L24" s="52"/>
    </row>
    <row r="25" spans="2:24" ht="14.25" customHeight="1" x14ac:dyDescent="0.35">
      <c r="B25" s="2" t="s">
        <v>283</v>
      </c>
      <c r="M25" s="52"/>
    </row>
    <row r="26" spans="2:24" ht="14.25" customHeight="1" x14ac:dyDescent="0.35">
      <c r="B26" s="1" t="s">
        <v>5</v>
      </c>
    </row>
    <row r="27" spans="2:24" ht="14.25" customHeight="1" x14ac:dyDescent="0.35">
      <c r="B27" t="s">
        <v>261</v>
      </c>
      <c r="N27" s="53"/>
      <c r="V27" s="56"/>
    </row>
    <row r="28" spans="2:24" ht="14.25" customHeight="1" x14ac:dyDescent="0.35">
      <c r="B28" t="s">
        <v>260</v>
      </c>
      <c r="O28" s="53"/>
      <c r="U28" s="58"/>
      <c r="V28" s="56"/>
    </row>
    <row r="29" spans="2:24" ht="14.25" customHeight="1" x14ac:dyDescent="0.35">
      <c r="B29" s="1" t="s">
        <v>6</v>
      </c>
    </row>
    <row r="30" spans="2:24" ht="14.25" customHeight="1" x14ac:dyDescent="0.35">
      <c r="B30" s="55" t="s">
        <v>272</v>
      </c>
      <c r="P30" s="54"/>
      <c r="U30" s="41"/>
      <c r="V30" s="56"/>
    </row>
    <row r="31" spans="2:24" ht="14.25" customHeight="1" x14ac:dyDescent="0.35">
      <c r="B31" s="55" t="s">
        <v>271</v>
      </c>
      <c r="Q31" s="54"/>
      <c r="W31" s="56"/>
    </row>
    <row r="32" spans="2:24" ht="14.25" customHeight="1" x14ac:dyDescent="0.35">
      <c r="B32" s="55" t="s">
        <v>270</v>
      </c>
      <c r="R32" s="54"/>
      <c r="W32" s="57"/>
      <c r="X32" s="56"/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S6:U6"/>
    <mergeCell ref="V6:X6"/>
    <mergeCell ref="B2:R2"/>
    <mergeCell ref="B3:R3"/>
    <mergeCell ref="B4:R4"/>
    <mergeCell ref="C6:M6"/>
    <mergeCell ref="N6:R6"/>
  </mergeCells>
  <phoneticPr fontId="31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1"/>
  <sheetViews>
    <sheetView zoomScale="70" zoomScaleNormal="70" workbookViewId="0">
      <selection activeCell="C13" sqref="C13"/>
    </sheetView>
  </sheetViews>
  <sheetFormatPr baseColWidth="10" defaultColWidth="12.6328125" defaultRowHeight="15" customHeight="1" x14ac:dyDescent="0.35"/>
  <cols>
    <col min="1" max="1" width="4.453125" customWidth="1"/>
    <col min="2" max="5" width="10.6328125" customWidth="1"/>
    <col min="6" max="6" width="14.6328125" customWidth="1"/>
    <col min="7" max="8" width="10.6328125" customWidth="1"/>
    <col min="9" max="9" width="17.6328125" customWidth="1"/>
    <col min="10" max="10" width="20.7265625" customWidth="1"/>
    <col min="11" max="15" width="10.6328125" customWidth="1"/>
    <col min="16" max="16" width="18.453125" customWidth="1"/>
    <col min="17" max="26" width="10.6328125" customWidth="1"/>
  </cols>
  <sheetData>
    <row r="1" spans="1:28" ht="14.2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8" ht="14.25" customHeight="1" x14ac:dyDescent="0.35">
      <c r="A2" s="3"/>
      <c r="B2" s="73" t="s">
        <v>7</v>
      </c>
      <c r="C2" s="74"/>
      <c r="D2" s="74"/>
      <c r="E2" s="74"/>
      <c r="F2" s="74"/>
      <c r="G2" s="74"/>
      <c r="H2" s="74"/>
      <c r="I2" s="74"/>
      <c r="J2" s="74"/>
      <c r="K2" s="75"/>
      <c r="L2" s="3"/>
      <c r="M2" s="79"/>
      <c r="N2" s="72"/>
      <c r="O2" s="80"/>
      <c r="P2" s="72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8" ht="14.25" customHeight="1" x14ac:dyDescent="0.35">
      <c r="A3" s="3"/>
      <c r="B3" s="76"/>
      <c r="C3" s="77"/>
      <c r="D3" s="77"/>
      <c r="E3" s="77"/>
      <c r="F3" s="77"/>
      <c r="G3" s="77"/>
      <c r="H3" s="77"/>
      <c r="I3" s="77"/>
      <c r="J3" s="77"/>
      <c r="K3" s="78"/>
      <c r="L3" s="3"/>
      <c r="M3" s="79" t="s">
        <v>8</v>
      </c>
      <c r="N3" s="72"/>
      <c r="O3" s="81">
        <v>46077</v>
      </c>
      <c r="P3" s="72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8" ht="14.25" customHeight="1" x14ac:dyDescent="0.35">
      <c r="A4" s="3"/>
      <c r="B4" s="82" t="s">
        <v>268</v>
      </c>
      <c r="C4" s="72"/>
      <c r="D4" s="72"/>
      <c r="E4" s="72"/>
      <c r="F4" s="72"/>
      <c r="G4" s="72"/>
      <c r="H4" s="72"/>
      <c r="I4" s="72"/>
      <c r="J4" s="72"/>
      <c r="K4" s="7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8" ht="14.25" customHeight="1" x14ac:dyDescent="0.35">
      <c r="A5" s="3"/>
      <c r="B5" s="72"/>
      <c r="C5" s="72"/>
      <c r="D5" s="72"/>
      <c r="E5" s="72"/>
      <c r="F5" s="72"/>
      <c r="G5" s="72"/>
      <c r="H5" s="72"/>
      <c r="I5" s="72"/>
      <c r="J5" s="72"/>
      <c r="K5" s="7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8" ht="14.25" customHeigh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8" ht="14.25" customHeight="1" x14ac:dyDescent="0.35">
      <c r="A7" s="3"/>
      <c r="B7" s="83" t="s">
        <v>9</v>
      </c>
      <c r="C7" s="84"/>
      <c r="D7" s="85" t="s">
        <v>10</v>
      </c>
      <c r="E7" s="86"/>
      <c r="F7" s="84"/>
      <c r="G7" s="85" t="s">
        <v>11</v>
      </c>
      <c r="H7" s="86"/>
      <c r="I7" s="84"/>
      <c r="J7" s="62" t="s">
        <v>12</v>
      </c>
      <c r="K7" s="85" t="s">
        <v>13</v>
      </c>
      <c r="L7" s="84"/>
      <c r="M7" s="85" t="s">
        <v>14</v>
      </c>
      <c r="N7" s="86"/>
      <c r="O7" s="84"/>
      <c r="P7" s="62" t="s">
        <v>15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8" ht="64.5" customHeight="1" x14ac:dyDescent="0.35">
      <c r="A8" s="3"/>
      <c r="B8" s="87" t="s">
        <v>16</v>
      </c>
      <c r="C8" s="88"/>
      <c r="D8" s="89" t="s">
        <v>17</v>
      </c>
      <c r="E8" s="90"/>
      <c r="F8" s="88"/>
      <c r="G8" s="89" t="s">
        <v>18</v>
      </c>
      <c r="H8" s="90"/>
      <c r="I8" s="88"/>
      <c r="J8" s="4" t="s">
        <v>285</v>
      </c>
      <c r="K8" s="92" t="s">
        <v>20</v>
      </c>
      <c r="L8" s="88"/>
      <c r="M8" s="92" t="s">
        <v>21</v>
      </c>
      <c r="N8" s="90"/>
      <c r="O8" s="88"/>
      <c r="P8" s="5" t="s">
        <v>22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spans="1:28" ht="52.5" customHeight="1" x14ac:dyDescent="0.35">
      <c r="A9" s="3"/>
      <c r="B9" s="91" t="s">
        <v>23</v>
      </c>
      <c r="C9" s="88"/>
      <c r="D9" s="89" t="s">
        <v>286</v>
      </c>
      <c r="E9" s="90"/>
      <c r="F9" s="88"/>
      <c r="G9" s="89" t="s">
        <v>24</v>
      </c>
      <c r="H9" s="90"/>
      <c r="I9" s="88"/>
      <c r="J9" s="6" t="s">
        <v>25</v>
      </c>
      <c r="K9" s="92" t="s">
        <v>20</v>
      </c>
      <c r="L9" s="88"/>
      <c r="M9" s="92" t="s">
        <v>287</v>
      </c>
      <c r="N9" s="90"/>
      <c r="O9" s="88"/>
      <c r="P9" s="5" t="s">
        <v>287</v>
      </c>
      <c r="Q9" s="3"/>
      <c r="R9" s="7"/>
      <c r="S9" s="3"/>
      <c r="T9" s="3"/>
      <c r="U9" s="3"/>
      <c r="V9" s="3"/>
      <c r="W9" s="3"/>
      <c r="X9" s="3"/>
      <c r="Y9" s="3"/>
      <c r="Z9" s="3"/>
    </row>
    <row r="10" spans="1:28" ht="80.25" customHeight="1" x14ac:dyDescent="0.35">
      <c r="A10" s="3"/>
      <c r="B10" s="87" t="s">
        <v>23</v>
      </c>
      <c r="C10" s="88"/>
      <c r="D10" s="89" t="s">
        <v>26</v>
      </c>
      <c r="E10" s="90"/>
      <c r="F10" s="88"/>
      <c r="G10" s="89" t="s">
        <v>27</v>
      </c>
      <c r="H10" s="90"/>
      <c r="I10" s="88"/>
      <c r="J10" s="4" t="s">
        <v>28</v>
      </c>
      <c r="K10" s="92" t="s">
        <v>20</v>
      </c>
      <c r="L10" s="88"/>
      <c r="M10" s="92" t="s">
        <v>21</v>
      </c>
      <c r="N10" s="90"/>
      <c r="O10" s="88"/>
      <c r="P10" s="5" t="s">
        <v>22</v>
      </c>
      <c r="Q10" s="3"/>
      <c r="R10" s="7"/>
      <c r="S10" s="3"/>
      <c r="T10" s="3"/>
      <c r="U10" s="3"/>
      <c r="V10" s="3"/>
      <c r="W10" s="3"/>
      <c r="X10" s="3"/>
      <c r="Y10" s="3"/>
      <c r="Z10" s="3"/>
    </row>
    <row r="11" spans="1:28" ht="28.5" customHeight="1" x14ac:dyDescent="0.35">
      <c r="A11" s="3"/>
      <c r="B11" s="91" t="s">
        <v>289</v>
      </c>
      <c r="C11" s="88"/>
      <c r="D11" s="89" t="s">
        <v>29</v>
      </c>
      <c r="E11" s="90"/>
      <c r="F11" s="88"/>
      <c r="G11" s="92" t="s">
        <v>30</v>
      </c>
      <c r="H11" s="90"/>
      <c r="I11" s="88"/>
      <c r="J11" s="8" t="s">
        <v>275</v>
      </c>
      <c r="K11" s="92" t="s">
        <v>20</v>
      </c>
      <c r="L11" s="88"/>
      <c r="M11" s="92" t="s">
        <v>21</v>
      </c>
      <c r="N11" s="90"/>
      <c r="O11" s="88"/>
      <c r="P11" s="5" t="s">
        <v>287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8" ht="52.5" customHeight="1" x14ac:dyDescent="0.35">
      <c r="A12" s="3"/>
      <c r="B12" s="91" t="s">
        <v>31</v>
      </c>
      <c r="C12" s="88"/>
      <c r="D12" s="89" t="s">
        <v>32</v>
      </c>
      <c r="E12" s="90"/>
      <c r="F12" s="88"/>
      <c r="G12" s="89" t="s">
        <v>33</v>
      </c>
      <c r="H12" s="90"/>
      <c r="I12" s="88"/>
      <c r="J12" s="9" t="s">
        <v>34</v>
      </c>
      <c r="K12" s="92" t="s">
        <v>35</v>
      </c>
      <c r="L12" s="88"/>
      <c r="M12" s="92" t="s">
        <v>21</v>
      </c>
      <c r="N12" s="90"/>
      <c r="O12" s="88"/>
      <c r="P12" s="5" t="s">
        <v>36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8" ht="68.25" customHeight="1" x14ac:dyDescent="0.35">
      <c r="A13" s="10"/>
      <c r="B13" s="64"/>
      <c r="C13" s="6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14.25" customHeight="1" x14ac:dyDescent="0.35">
      <c r="A14" s="3"/>
      <c r="B14" s="1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8" ht="14.25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8" ht="14.25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" customHeight="1" x14ac:dyDescent="0.35">
      <c r="B1001" s="3"/>
    </row>
  </sheetData>
  <mergeCells count="36">
    <mergeCell ref="M11:O11"/>
    <mergeCell ref="M12:O12"/>
    <mergeCell ref="K7:L7"/>
    <mergeCell ref="M7:O7"/>
    <mergeCell ref="K8:L8"/>
    <mergeCell ref="M8:O8"/>
    <mergeCell ref="K9:L9"/>
    <mergeCell ref="M9:O9"/>
    <mergeCell ref="M10:O10"/>
    <mergeCell ref="K10:L10"/>
    <mergeCell ref="K11:L11"/>
    <mergeCell ref="K12:L12"/>
    <mergeCell ref="B12:C12"/>
    <mergeCell ref="D12:F12"/>
    <mergeCell ref="G12:I12"/>
    <mergeCell ref="B9:C9"/>
    <mergeCell ref="B10:C10"/>
    <mergeCell ref="D10:F10"/>
    <mergeCell ref="G10:I10"/>
    <mergeCell ref="B11:C11"/>
    <mergeCell ref="D11:F11"/>
    <mergeCell ref="G11:I11"/>
    <mergeCell ref="D9:F9"/>
    <mergeCell ref="G9:I9"/>
    <mergeCell ref="B4:K5"/>
    <mergeCell ref="B7:C7"/>
    <mergeCell ref="D7:F7"/>
    <mergeCell ref="G7:I7"/>
    <mergeCell ref="B8:C8"/>
    <mergeCell ref="D8:F8"/>
    <mergeCell ref="G8:I8"/>
    <mergeCell ref="B2:K3"/>
    <mergeCell ref="M2:N2"/>
    <mergeCell ref="O2:P2"/>
    <mergeCell ref="M3:N3"/>
    <mergeCell ref="O3:P3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000"/>
  <sheetViews>
    <sheetView topLeftCell="A7" zoomScale="90" zoomScaleNormal="90" workbookViewId="0">
      <selection activeCell="B7" sqref="B7:D7"/>
    </sheetView>
  </sheetViews>
  <sheetFormatPr baseColWidth="10" defaultColWidth="12.6328125" defaultRowHeight="15" customHeight="1" x14ac:dyDescent="0.35"/>
  <cols>
    <col min="1" max="1" width="4.26953125" customWidth="1"/>
    <col min="2" max="10" width="10.6328125" customWidth="1"/>
    <col min="11" max="11" width="13" customWidth="1"/>
    <col min="12" max="16" width="10.6328125" customWidth="1"/>
  </cols>
  <sheetData>
    <row r="1" spans="2:16" ht="14.25" customHeight="1" x14ac:dyDescent="0.35"/>
    <row r="2" spans="2:16" ht="14.25" customHeight="1" x14ac:dyDescent="0.35">
      <c r="B2" s="93" t="s">
        <v>37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5"/>
    </row>
    <row r="3" spans="2:16" ht="14.25" customHeight="1" x14ac:dyDescent="0.35">
      <c r="B3" s="96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8"/>
    </row>
    <row r="4" spans="2:16" ht="14.25" customHeight="1" x14ac:dyDescent="0.35">
      <c r="B4" s="99" t="s">
        <v>38</v>
      </c>
      <c r="C4" s="88"/>
      <c r="D4" s="100" t="s">
        <v>269</v>
      </c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88"/>
    </row>
    <row r="5" spans="2:16" ht="47.25" customHeight="1" x14ac:dyDescent="0.35">
      <c r="B5" s="100" t="s">
        <v>39</v>
      </c>
      <c r="C5" s="90"/>
      <c r="D5" s="88"/>
      <c r="E5" s="101" t="s">
        <v>40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88"/>
    </row>
    <row r="6" spans="2:16" ht="40.5" customHeight="1" x14ac:dyDescent="0.35">
      <c r="B6" s="107" t="s">
        <v>41</v>
      </c>
      <c r="C6" s="105"/>
      <c r="D6" s="106"/>
      <c r="E6" s="104" t="s">
        <v>42</v>
      </c>
      <c r="F6" s="105"/>
      <c r="G6" s="105"/>
      <c r="H6" s="106"/>
      <c r="I6" s="104" t="s">
        <v>43</v>
      </c>
      <c r="J6" s="105"/>
      <c r="K6" s="105"/>
      <c r="L6" s="106"/>
      <c r="M6" s="107" t="s">
        <v>44</v>
      </c>
      <c r="N6" s="105"/>
      <c r="O6" s="106"/>
      <c r="P6" s="63" t="s">
        <v>45</v>
      </c>
    </row>
    <row r="7" spans="2:16" ht="53.25" customHeight="1" x14ac:dyDescent="0.35">
      <c r="B7" s="100" t="s">
        <v>46</v>
      </c>
      <c r="C7" s="90"/>
      <c r="D7" s="88"/>
      <c r="E7" s="102" t="s">
        <v>47</v>
      </c>
      <c r="F7" s="90"/>
      <c r="G7" s="90"/>
      <c r="H7" s="88"/>
      <c r="I7" s="102" t="s">
        <v>48</v>
      </c>
      <c r="J7" s="90"/>
      <c r="K7" s="90"/>
      <c r="L7" s="88"/>
      <c r="M7" s="103" t="s">
        <v>49</v>
      </c>
      <c r="N7" s="90"/>
      <c r="O7" s="88"/>
      <c r="P7" s="11">
        <v>4</v>
      </c>
    </row>
    <row r="8" spans="2:16" ht="53.25" customHeight="1" x14ac:dyDescent="0.35">
      <c r="B8" s="100" t="s">
        <v>50</v>
      </c>
      <c r="C8" s="90"/>
      <c r="D8" s="88"/>
      <c r="E8" s="102" t="s">
        <v>51</v>
      </c>
      <c r="F8" s="90"/>
      <c r="G8" s="90"/>
      <c r="H8" s="88"/>
      <c r="I8" s="102" t="s">
        <v>52</v>
      </c>
      <c r="J8" s="90"/>
      <c r="K8" s="90"/>
      <c r="L8" s="88"/>
      <c r="M8" s="103" t="s">
        <v>53</v>
      </c>
      <c r="N8" s="90"/>
      <c r="O8" s="88"/>
      <c r="P8" s="11">
        <v>3</v>
      </c>
    </row>
    <row r="9" spans="2:16" ht="53.25" customHeight="1" x14ac:dyDescent="0.35">
      <c r="B9" s="100" t="s">
        <v>54</v>
      </c>
      <c r="C9" s="90"/>
      <c r="D9" s="88"/>
      <c r="E9" s="102" t="s">
        <v>55</v>
      </c>
      <c r="F9" s="90"/>
      <c r="G9" s="90"/>
      <c r="H9" s="88"/>
      <c r="I9" s="102" t="s">
        <v>56</v>
      </c>
      <c r="J9" s="90"/>
      <c r="K9" s="90"/>
      <c r="L9" s="88"/>
      <c r="M9" s="103" t="s">
        <v>49</v>
      </c>
      <c r="N9" s="90"/>
      <c r="O9" s="88"/>
      <c r="P9" s="11">
        <v>4</v>
      </c>
    </row>
    <row r="10" spans="2:16" ht="75" customHeight="1" x14ac:dyDescent="0.35">
      <c r="B10" s="100" t="s">
        <v>57</v>
      </c>
      <c r="C10" s="90"/>
      <c r="D10" s="88"/>
      <c r="E10" s="102" t="s">
        <v>58</v>
      </c>
      <c r="F10" s="90"/>
      <c r="G10" s="90"/>
      <c r="H10" s="88"/>
      <c r="I10" s="102" t="s">
        <v>59</v>
      </c>
      <c r="J10" s="90"/>
      <c r="K10" s="90"/>
      <c r="L10" s="88"/>
      <c r="M10" s="103" t="s">
        <v>53</v>
      </c>
      <c r="N10" s="90"/>
      <c r="O10" s="88"/>
      <c r="P10" s="11">
        <v>3</v>
      </c>
    </row>
    <row r="11" spans="2:16" ht="70.5" customHeight="1" x14ac:dyDescent="0.35">
      <c r="B11" s="100" t="s">
        <v>60</v>
      </c>
      <c r="C11" s="90"/>
      <c r="D11" s="88"/>
      <c r="E11" s="102" t="s">
        <v>61</v>
      </c>
      <c r="F11" s="90"/>
      <c r="G11" s="90"/>
      <c r="H11" s="88"/>
      <c r="I11" s="102" t="s">
        <v>62</v>
      </c>
      <c r="J11" s="90"/>
      <c r="K11" s="90"/>
      <c r="L11" s="88"/>
      <c r="M11" s="103" t="s">
        <v>63</v>
      </c>
      <c r="N11" s="90"/>
      <c r="O11" s="88"/>
      <c r="P11" s="11">
        <v>2</v>
      </c>
    </row>
    <row r="12" spans="2:16" ht="80.25" customHeight="1" x14ac:dyDescent="0.35"/>
    <row r="13" spans="2:16" ht="80.25" customHeight="1" x14ac:dyDescent="0.35"/>
    <row r="14" spans="2:16" ht="14.25" customHeight="1" x14ac:dyDescent="0.35"/>
    <row r="15" spans="2:16" ht="14.25" customHeight="1" x14ac:dyDescent="0.35"/>
    <row r="16" spans="2: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9">
    <mergeCell ref="B10:D10"/>
    <mergeCell ref="E10:H10"/>
    <mergeCell ref="I10:L10"/>
    <mergeCell ref="M10:O10"/>
    <mergeCell ref="B11:D11"/>
    <mergeCell ref="E11:H11"/>
    <mergeCell ref="I11:L11"/>
    <mergeCell ref="M11:O11"/>
    <mergeCell ref="B9:D9"/>
    <mergeCell ref="E9:H9"/>
    <mergeCell ref="I9:L9"/>
    <mergeCell ref="M9:O9"/>
    <mergeCell ref="I6:L6"/>
    <mergeCell ref="M6:O6"/>
    <mergeCell ref="B6:D6"/>
    <mergeCell ref="E6:H6"/>
    <mergeCell ref="B7:D7"/>
    <mergeCell ref="E7:H7"/>
    <mergeCell ref="I7:L7"/>
    <mergeCell ref="M7:O7"/>
    <mergeCell ref="E8:H8"/>
    <mergeCell ref="I8:L8"/>
    <mergeCell ref="M8:O8"/>
    <mergeCell ref="B8:D8"/>
    <mergeCell ref="B2:P3"/>
    <mergeCell ref="B4:C4"/>
    <mergeCell ref="D4:P4"/>
    <mergeCell ref="B5:D5"/>
    <mergeCell ref="E5:P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baseColWidth="10" defaultColWidth="12.6328125" defaultRowHeight="15" customHeight="1" x14ac:dyDescent="0.35"/>
  <cols>
    <col min="1" max="2" width="10.6328125" customWidth="1"/>
    <col min="3" max="3" width="28.26953125" customWidth="1"/>
    <col min="4" max="4" width="33" customWidth="1"/>
    <col min="5" max="5" width="16" customWidth="1"/>
    <col min="6" max="6" width="23.26953125" customWidth="1"/>
    <col min="7" max="7" width="19.453125" customWidth="1"/>
    <col min="8" max="8" width="24.90625" customWidth="1"/>
    <col min="9" max="9" width="22.08984375" customWidth="1"/>
    <col min="10" max="10" width="10.6328125" customWidth="1"/>
  </cols>
  <sheetData>
    <row r="1" spans="1:10" ht="14.25" customHeight="1" x14ac:dyDescent="0.35">
      <c r="E1" s="10"/>
      <c r="F1" s="10"/>
      <c r="G1" s="12" t="s">
        <v>64</v>
      </c>
      <c r="H1" s="108">
        <v>45485</v>
      </c>
      <c r="I1" s="88"/>
    </row>
    <row r="2" spans="1:10" ht="15.75" customHeight="1" x14ac:dyDescent="0.35">
      <c r="B2" s="109" t="s">
        <v>65</v>
      </c>
      <c r="C2" s="72"/>
      <c r="D2" s="72"/>
      <c r="E2" s="72"/>
      <c r="F2" s="10"/>
      <c r="I2" s="10"/>
    </row>
    <row r="3" spans="1:10" ht="14.25" customHeight="1" x14ac:dyDescent="0.35">
      <c r="B3" s="72"/>
      <c r="C3" s="72"/>
      <c r="D3" s="72"/>
      <c r="E3" s="72"/>
      <c r="F3" s="10"/>
      <c r="I3" s="10"/>
    </row>
    <row r="4" spans="1:10" ht="14.25" customHeight="1" x14ac:dyDescent="0.35">
      <c r="E4" s="10"/>
      <c r="F4" s="10"/>
      <c r="I4" s="10"/>
    </row>
    <row r="5" spans="1:10" ht="14.25" customHeight="1" x14ac:dyDescent="0.35">
      <c r="A5" s="13"/>
      <c r="B5" s="14" t="s">
        <v>66</v>
      </c>
      <c r="C5" s="110" t="s">
        <v>67</v>
      </c>
      <c r="D5" s="88"/>
      <c r="E5" s="14" t="s">
        <v>68</v>
      </c>
      <c r="F5" s="14" t="s">
        <v>69</v>
      </c>
      <c r="G5" s="14" t="s">
        <v>70</v>
      </c>
      <c r="H5" s="15" t="s">
        <v>71</v>
      </c>
      <c r="I5" s="15" t="s">
        <v>72</v>
      </c>
      <c r="J5" s="13"/>
    </row>
    <row r="6" spans="1:10" ht="14.25" customHeight="1" x14ac:dyDescent="0.35">
      <c r="B6" s="111" t="s">
        <v>73</v>
      </c>
      <c r="C6" s="90"/>
      <c r="D6" s="90"/>
      <c r="E6" s="90"/>
      <c r="F6" s="90"/>
      <c r="G6" s="90"/>
      <c r="H6" s="90"/>
      <c r="I6" s="88"/>
      <c r="J6" s="16"/>
    </row>
    <row r="7" spans="1:10" ht="14.25" customHeight="1" x14ac:dyDescent="0.35">
      <c r="B7" s="17">
        <v>1</v>
      </c>
      <c r="C7" s="112" t="s">
        <v>74</v>
      </c>
      <c r="D7" s="88"/>
      <c r="E7" s="18">
        <v>6500</v>
      </c>
      <c r="F7" s="18">
        <f t="shared" ref="F7:F11" si="0">E7*B7</f>
        <v>6500</v>
      </c>
      <c r="G7" s="19" t="s">
        <v>19</v>
      </c>
      <c r="H7" s="19">
        <v>1</v>
      </c>
      <c r="I7" s="18">
        <f t="shared" ref="I7:I11" si="1">F7/H7</f>
        <v>6500</v>
      </c>
      <c r="J7" s="16"/>
    </row>
    <row r="8" spans="1:10" ht="14.25" customHeight="1" x14ac:dyDescent="0.35">
      <c r="B8" s="17">
        <v>1</v>
      </c>
      <c r="C8" s="112" t="s">
        <v>75</v>
      </c>
      <c r="D8" s="88"/>
      <c r="E8" s="18">
        <v>450</v>
      </c>
      <c r="F8" s="18">
        <f t="shared" si="0"/>
        <v>450</v>
      </c>
      <c r="G8" s="19" t="s">
        <v>19</v>
      </c>
      <c r="H8" s="19">
        <v>1</v>
      </c>
      <c r="I8" s="18">
        <f t="shared" si="1"/>
        <v>450</v>
      </c>
      <c r="J8" s="16"/>
    </row>
    <row r="9" spans="1:10" ht="14.25" customHeight="1" x14ac:dyDescent="0.35">
      <c r="B9" s="17">
        <v>1</v>
      </c>
      <c r="C9" s="112" t="s">
        <v>76</v>
      </c>
      <c r="D9" s="88"/>
      <c r="E9" s="18">
        <v>200</v>
      </c>
      <c r="F9" s="18">
        <f t="shared" si="0"/>
        <v>200</v>
      </c>
      <c r="G9" s="19" t="s">
        <v>19</v>
      </c>
      <c r="H9" s="19">
        <v>1</v>
      </c>
      <c r="I9" s="18">
        <f t="shared" si="1"/>
        <v>200</v>
      </c>
      <c r="J9" s="16"/>
    </row>
    <row r="10" spans="1:10" ht="14.25" customHeight="1" x14ac:dyDescent="0.35">
      <c r="B10" s="17">
        <v>1</v>
      </c>
      <c r="C10" s="112" t="s">
        <v>77</v>
      </c>
      <c r="D10" s="88"/>
      <c r="E10" s="18">
        <v>100</v>
      </c>
      <c r="F10" s="18">
        <f t="shared" si="0"/>
        <v>100</v>
      </c>
      <c r="G10" s="19" t="s">
        <v>19</v>
      </c>
      <c r="H10" s="19">
        <v>1</v>
      </c>
      <c r="I10" s="18">
        <f t="shared" si="1"/>
        <v>100</v>
      </c>
      <c r="J10" s="16"/>
    </row>
    <row r="11" spans="1:10" ht="14.25" customHeight="1" x14ac:dyDescent="0.35">
      <c r="B11" s="17">
        <v>1</v>
      </c>
      <c r="C11" s="112" t="s">
        <v>78</v>
      </c>
      <c r="D11" s="88"/>
      <c r="E11" s="18">
        <v>500</v>
      </c>
      <c r="F11" s="18">
        <f t="shared" si="0"/>
        <v>500</v>
      </c>
      <c r="G11" s="19" t="s">
        <v>19</v>
      </c>
      <c r="H11" s="19">
        <v>1</v>
      </c>
      <c r="I11" s="18">
        <f t="shared" si="1"/>
        <v>500</v>
      </c>
    </row>
    <row r="12" spans="1:10" ht="14.25" customHeight="1" x14ac:dyDescent="0.35">
      <c r="B12" s="113"/>
      <c r="C12" s="90"/>
      <c r="D12" s="90"/>
      <c r="E12" s="88"/>
      <c r="F12" s="20">
        <f>SUM(F7:F11)</f>
        <v>7750</v>
      </c>
      <c r="G12" s="113"/>
      <c r="H12" s="88"/>
      <c r="I12" s="21">
        <f>SUM(I7:I11)</f>
        <v>7750</v>
      </c>
    </row>
    <row r="13" spans="1:10" ht="14.25" customHeight="1" x14ac:dyDescent="0.35">
      <c r="B13" s="111" t="s">
        <v>79</v>
      </c>
      <c r="C13" s="90"/>
      <c r="D13" s="90"/>
      <c r="E13" s="90"/>
      <c r="F13" s="90"/>
      <c r="G13" s="90"/>
      <c r="H13" s="90"/>
      <c r="I13" s="88"/>
    </row>
    <row r="14" spans="1:10" ht="14.25" customHeight="1" x14ac:dyDescent="0.35">
      <c r="B14" s="22">
        <v>2</v>
      </c>
      <c r="C14" s="114" t="s">
        <v>80</v>
      </c>
      <c r="D14" s="88"/>
      <c r="E14" s="23">
        <v>15000</v>
      </c>
      <c r="F14" s="23">
        <f t="shared" ref="F14:F18" si="2">B14*E14</f>
        <v>30000</v>
      </c>
      <c r="G14" s="24" t="s">
        <v>81</v>
      </c>
      <c r="H14" s="24">
        <f>12*4</f>
        <v>48</v>
      </c>
      <c r="I14" s="23">
        <f t="shared" ref="I14:I18" si="3">F14/H14</f>
        <v>625</v>
      </c>
      <c r="J14" s="16"/>
    </row>
    <row r="15" spans="1:10" ht="14.25" customHeight="1" x14ac:dyDescent="0.35">
      <c r="B15" s="22">
        <v>1</v>
      </c>
      <c r="C15" s="114" t="s">
        <v>82</v>
      </c>
      <c r="D15" s="88"/>
      <c r="E15" s="23">
        <v>2500</v>
      </c>
      <c r="F15" s="23">
        <f t="shared" si="2"/>
        <v>2500</v>
      </c>
      <c r="G15" s="24" t="s">
        <v>83</v>
      </c>
      <c r="H15" s="24">
        <f t="shared" ref="H15:H16" si="4">12*8</f>
        <v>96</v>
      </c>
      <c r="I15" s="23">
        <f t="shared" si="3"/>
        <v>26.041666666666668</v>
      </c>
    </row>
    <row r="16" spans="1:10" ht="14.25" customHeight="1" x14ac:dyDescent="0.35">
      <c r="B16" s="22">
        <v>2</v>
      </c>
      <c r="C16" s="114" t="s">
        <v>84</v>
      </c>
      <c r="D16" s="88"/>
      <c r="E16" s="23">
        <v>3500</v>
      </c>
      <c r="F16" s="23">
        <f t="shared" si="2"/>
        <v>7000</v>
      </c>
      <c r="G16" s="24" t="s">
        <v>83</v>
      </c>
      <c r="H16" s="24">
        <f t="shared" si="4"/>
        <v>96</v>
      </c>
      <c r="I16" s="23">
        <f t="shared" si="3"/>
        <v>72.916666666666671</v>
      </c>
    </row>
    <row r="17" spans="2:10" ht="14.25" customHeight="1" x14ac:dyDescent="0.35">
      <c r="B17" s="22">
        <v>2</v>
      </c>
      <c r="C17" s="114" t="s">
        <v>85</v>
      </c>
      <c r="D17" s="88"/>
      <c r="E17" s="23">
        <v>1500</v>
      </c>
      <c r="F17" s="23">
        <f t="shared" si="2"/>
        <v>3000</v>
      </c>
      <c r="G17" s="24" t="s">
        <v>86</v>
      </c>
      <c r="H17" s="24">
        <v>12</v>
      </c>
      <c r="I17" s="23">
        <f t="shared" si="3"/>
        <v>250</v>
      </c>
    </row>
    <row r="18" spans="2:10" ht="14.25" customHeight="1" x14ac:dyDescent="0.35">
      <c r="B18" s="22">
        <v>1</v>
      </c>
      <c r="C18" s="114" t="s">
        <v>87</v>
      </c>
      <c r="D18" s="88"/>
      <c r="E18" s="23">
        <v>5200</v>
      </c>
      <c r="F18" s="23">
        <f t="shared" si="2"/>
        <v>5200</v>
      </c>
      <c r="G18" s="24" t="s">
        <v>81</v>
      </c>
      <c r="H18" s="24">
        <f>12*4</f>
        <v>48</v>
      </c>
      <c r="I18" s="23">
        <f t="shared" si="3"/>
        <v>108.33333333333333</v>
      </c>
    </row>
    <row r="19" spans="2:10" ht="14.25" customHeight="1" x14ac:dyDescent="0.35">
      <c r="B19" s="113"/>
      <c r="C19" s="90"/>
      <c r="D19" s="90"/>
      <c r="E19" s="88"/>
      <c r="F19" s="25">
        <f>SUM(F14:F18)</f>
        <v>47700</v>
      </c>
      <c r="G19" s="113"/>
      <c r="H19" s="88"/>
      <c r="I19" s="21">
        <f>SUM(I14:I18)</f>
        <v>1082.2916666666665</v>
      </c>
    </row>
    <row r="20" spans="2:10" ht="14.25" customHeight="1" x14ac:dyDescent="0.35">
      <c r="B20" s="111" t="s">
        <v>88</v>
      </c>
      <c r="C20" s="90"/>
      <c r="D20" s="90"/>
      <c r="E20" s="90"/>
      <c r="F20" s="90"/>
      <c r="G20" s="90"/>
      <c r="H20" s="90"/>
      <c r="I20" s="88"/>
      <c r="J20" s="16"/>
    </row>
    <row r="21" spans="2:10" ht="14.25" customHeight="1" x14ac:dyDescent="0.35">
      <c r="B21" s="17">
        <v>1</v>
      </c>
      <c r="C21" s="112" t="s">
        <v>89</v>
      </c>
      <c r="D21" s="88"/>
      <c r="E21" s="18">
        <v>40000</v>
      </c>
      <c r="F21" s="18">
        <f>E21</f>
        <v>40000</v>
      </c>
      <c r="G21" s="19" t="s">
        <v>19</v>
      </c>
      <c r="H21" s="19">
        <v>1</v>
      </c>
      <c r="I21" s="18">
        <f>F21/H21</f>
        <v>40000</v>
      </c>
      <c r="J21" s="16"/>
    </row>
    <row r="22" spans="2:10" ht="14.25" customHeight="1" x14ac:dyDescent="0.35">
      <c r="B22" s="17">
        <v>1</v>
      </c>
      <c r="C22" s="115" t="s">
        <v>90</v>
      </c>
      <c r="D22" s="88"/>
      <c r="E22" s="18">
        <v>30000</v>
      </c>
      <c r="F22" s="18">
        <v>30000</v>
      </c>
      <c r="G22" s="19" t="s">
        <v>19</v>
      </c>
      <c r="H22" s="19">
        <v>1</v>
      </c>
      <c r="I22" s="18">
        <v>30000</v>
      </c>
      <c r="J22" s="16"/>
    </row>
    <row r="23" spans="2:10" ht="14.25" customHeight="1" x14ac:dyDescent="0.35">
      <c r="B23" s="113"/>
      <c r="C23" s="90"/>
      <c r="D23" s="90"/>
      <c r="E23" s="88"/>
      <c r="F23" s="25">
        <f>SUM(F21:F22)</f>
        <v>70000</v>
      </c>
      <c r="G23" s="113"/>
      <c r="H23" s="88"/>
      <c r="I23" s="21">
        <f>SUM(I21:I22)</f>
        <v>70000</v>
      </c>
      <c r="J23" s="16"/>
    </row>
    <row r="24" spans="2:10" ht="14.25" customHeight="1" x14ac:dyDescent="0.35">
      <c r="B24" s="111" t="s">
        <v>91</v>
      </c>
      <c r="C24" s="90"/>
      <c r="D24" s="90"/>
      <c r="E24" s="90"/>
      <c r="F24" s="90"/>
      <c r="G24" s="90"/>
      <c r="H24" s="90"/>
      <c r="I24" s="88"/>
      <c r="J24" s="16"/>
    </row>
    <row r="25" spans="2:10" ht="14.25" customHeight="1" x14ac:dyDescent="0.35">
      <c r="B25" s="22">
        <v>1</v>
      </c>
      <c r="C25" s="114" t="s">
        <v>92</v>
      </c>
      <c r="D25" s="88"/>
      <c r="E25" s="23">
        <v>1000</v>
      </c>
      <c r="F25" s="23">
        <f>E25</f>
        <v>1000</v>
      </c>
      <c r="G25" s="24" t="s">
        <v>93</v>
      </c>
      <c r="H25" s="24">
        <f>10*12</f>
        <v>120</v>
      </c>
      <c r="I25" s="23">
        <f>F25/H25</f>
        <v>8.3333333333333339</v>
      </c>
      <c r="J25" s="16"/>
    </row>
    <row r="26" spans="2:10" ht="14.25" customHeight="1" x14ac:dyDescent="0.35">
      <c r="B26" s="22">
        <v>1</v>
      </c>
      <c r="C26" s="116" t="s">
        <v>94</v>
      </c>
      <c r="D26" s="88"/>
      <c r="E26" s="23">
        <v>2042</v>
      </c>
      <c r="F26" s="23">
        <v>2042</v>
      </c>
      <c r="G26" s="24" t="s">
        <v>95</v>
      </c>
      <c r="H26" s="24">
        <v>12</v>
      </c>
      <c r="I26" s="23">
        <v>170.17</v>
      </c>
      <c r="J26" s="16"/>
    </row>
    <row r="27" spans="2:10" ht="14.25" customHeight="1" x14ac:dyDescent="0.35">
      <c r="B27" s="22">
        <v>1</v>
      </c>
      <c r="C27" s="116" t="s">
        <v>96</v>
      </c>
      <c r="D27" s="88"/>
      <c r="E27" s="23">
        <v>2650</v>
      </c>
      <c r="F27" s="23">
        <v>2650</v>
      </c>
      <c r="G27" s="24" t="s">
        <v>97</v>
      </c>
      <c r="H27" s="24">
        <v>0</v>
      </c>
      <c r="I27" s="23">
        <v>416.67</v>
      </c>
      <c r="J27" s="16"/>
    </row>
    <row r="28" spans="2:10" ht="14.25" customHeight="1" x14ac:dyDescent="0.35">
      <c r="B28" s="22">
        <v>1</v>
      </c>
      <c r="C28" s="114" t="s">
        <v>98</v>
      </c>
      <c r="D28" s="88"/>
      <c r="E28" s="23">
        <v>1000</v>
      </c>
      <c r="F28" s="23">
        <f>E28</f>
        <v>1000</v>
      </c>
      <c r="G28" s="24" t="s">
        <v>95</v>
      </c>
      <c r="H28" s="24">
        <v>12</v>
      </c>
      <c r="I28" s="23">
        <f>F28/H28</f>
        <v>83.333333333333329</v>
      </c>
    </row>
    <row r="29" spans="2:10" ht="14.25" customHeight="1" x14ac:dyDescent="0.35">
      <c r="B29" s="113"/>
      <c r="C29" s="90"/>
      <c r="D29" s="90"/>
      <c r="E29" s="88"/>
      <c r="F29" s="25">
        <f>SUM(F25:F28)</f>
        <v>6692</v>
      </c>
      <c r="G29" s="113"/>
      <c r="H29" s="88"/>
      <c r="I29" s="21">
        <f>SUM(I25:I28)</f>
        <v>678.50666666666677</v>
      </c>
      <c r="J29" s="26"/>
    </row>
    <row r="30" spans="2:10" ht="14.25" customHeight="1" x14ac:dyDescent="0.35">
      <c r="B30" s="111" t="s">
        <v>99</v>
      </c>
      <c r="C30" s="90"/>
      <c r="D30" s="90"/>
      <c r="E30" s="90"/>
      <c r="F30" s="90"/>
      <c r="G30" s="90"/>
      <c r="H30" s="90"/>
      <c r="I30" s="88"/>
    </row>
    <row r="31" spans="2:10" ht="14.25" customHeight="1" x14ac:dyDescent="0.35">
      <c r="B31" s="27">
        <v>1</v>
      </c>
      <c r="C31" s="120" t="s">
        <v>100</v>
      </c>
      <c r="D31" s="88"/>
      <c r="E31" s="28">
        <v>800</v>
      </c>
      <c r="F31" s="28">
        <f>E31</f>
        <v>800</v>
      </c>
      <c r="G31" s="29" t="s">
        <v>19</v>
      </c>
      <c r="H31" s="29">
        <v>1</v>
      </c>
      <c r="I31" s="28">
        <f>F31/H31</f>
        <v>800</v>
      </c>
    </row>
    <row r="32" spans="2:10" ht="14.25" customHeight="1" x14ac:dyDescent="0.35">
      <c r="B32" s="27">
        <v>1</v>
      </c>
      <c r="C32" s="121" t="s">
        <v>101</v>
      </c>
      <c r="D32" s="88"/>
      <c r="E32" s="28">
        <v>1000</v>
      </c>
      <c r="F32" s="28">
        <v>1000</v>
      </c>
      <c r="G32" s="29" t="s">
        <v>19</v>
      </c>
      <c r="H32" s="29">
        <v>2</v>
      </c>
      <c r="I32" s="28">
        <v>500</v>
      </c>
    </row>
    <row r="33" spans="2:10" ht="14.25" customHeight="1" x14ac:dyDescent="0.35">
      <c r="B33" s="27">
        <v>1</v>
      </c>
      <c r="C33" s="120" t="s">
        <v>102</v>
      </c>
      <c r="D33" s="88"/>
      <c r="E33" s="28">
        <v>1300</v>
      </c>
      <c r="F33" s="28">
        <v>1300</v>
      </c>
      <c r="G33" s="29" t="s">
        <v>19</v>
      </c>
      <c r="H33" s="29">
        <v>1</v>
      </c>
      <c r="I33" s="28">
        <f>F33/H33</f>
        <v>1300</v>
      </c>
    </row>
    <row r="34" spans="2:10" ht="14.25" customHeight="1" x14ac:dyDescent="0.35">
      <c r="B34" s="113"/>
      <c r="C34" s="90"/>
      <c r="D34" s="90"/>
      <c r="E34" s="88"/>
      <c r="F34" s="25">
        <f>SUM(F31:F33)</f>
        <v>3100</v>
      </c>
      <c r="G34" s="113"/>
      <c r="H34" s="88"/>
      <c r="I34" s="21">
        <f>SUM(I31:I33)</f>
        <v>2600</v>
      </c>
    </row>
    <row r="35" spans="2:10" ht="14.25" customHeight="1" x14ac:dyDescent="0.35">
      <c r="E35" s="10"/>
      <c r="F35" s="10"/>
      <c r="I35" s="10"/>
    </row>
    <row r="36" spans="2:10" ht="14.25" customHeight="1" x14ac:dyDescent="0.35">
      <c r="E36" s="10"/>
      <c r="F36" s="10"/>
      <c r="I36" s="10"/>
    </row>
    <row r="37" spans="2:10" ht="14.25" customHeight="1" x14ac:dyDescent="0.35">
      <c r="B37" s="3"/>
      <c r="C37" s="15" t="s">
        <v>103</v>
      </c>
      <c r="D37" s="15" t="s">
        <v>71</v>
      </c>
      <c r="E37" s="15" t="s">
        <v>104</v>
      </c>
      <c r="F37" s="15" t="s">
        <v>105</v>
      </c>
      <c r="G37" s="15" t="s">
        <v>106</v>
      </c>
      <c r="H37" s="15" t="s">
        <v>107</v>
      </c>
      <c r="I37" s="15" t="s">
        <v>108</v>
      </c>
    </row>
    <row r="38" spans="2:10" ht="14.25" customHeight="1" x14ac:dyDescent="0.35">
      <c r="B38" s="30" t="s">
        <v>109</v>
      </c>
      <c r="C38" s="117">
        <f>SUM(I34,I29,I23,I19,I12)</f>
        <v>82110.79833333334</v>
      </c>
      <c r="D38" s="119">
        <v>2</v>
      </c>
      <c r="E38" s="117">
        <f>C38*D38</f>
        <v>164221.59666666668</v>
      </c>
      <c r="F38" s="11">
        <v>0.315</v>
      </c>
      <c r="G38" s="31">
        <f>E38/F38</f>
        <v>521338.40211640217</v>
      </c>
      <c r="H38" s="31">
        <f>G38-E38</f>
        <v>357116.80544973549</v>
      </c>
      <c r="I38" s="32">
        <f>H38/D38</f>
        <v>178558.40272486774</v>
      </c>
      <c r="J38" s="33"/>
    </row>
    <row r="39" spans="2:10" ht="14.25" customHeight="1" x14ac:dyDescent="0.35">
      <c r="B39" s="30" t="s">
        <v>110</v>
      </c>
      <c r="C39" s="118"/>
      <c r="D39" s="118"/>
      <c r="E39" s="118"/>
      <c r="F39" s="11">
        <v>0.68500000000000005</v>
      </c>
      <c r="G39" s="31">
        <f>E38/F39</f>
        <v>239739.55717761558</v>
      </c>
      <c r="H39" s="31">
        <f>G39-E38</f>
        <v>75517.960510948906</v>
      </c>
      <c r="I39" s="32">
        <f>H39/D38</f>
        <v>37758.980255474453</v>
      </c>
    </row>
    <row r="40" spans="2:10" ht="14.25" customHeight="1" x14ac:dyDescent="0.35">
      <c r="E40" s="10"/>
      <c r="F40" s="10"/>
      <c r="I40" s="10"/>
      <c r="J40" s="34"/>
    </row>
    <row r="41" spans="2:10" ht="14.25" customHeight="1" x14ac:dyDescent="0.35">
      <c r="B41" s="35"/>
      <c r="E41" s="10"/>
      <c r="F41" s="10"/>
      <c r="G41" s="3"/>
      <c r="H41" s="3"/>
      <c r="I41" s="10"/>
      <c r="J41" s="3"/>
    </row>
    <row r="42" spans="2:10" ht="14.25" customHeight="1" x14ac:dyDescent="0.35">
      <c r="B42" s="35"/>
      <c r="E42" s="10"/>
      <c r="F42" s="10"/>
      <c r="H42" s="3"/>
      <c r="I42" s="10"/>
      <c r="J42" s="3"/>
    </row>
    <row r="43" spans="2:10" ht="14.25" customHeight="1" x14ac:dyDescent="0.35">
      <c r="E43" s="10"/>
      <c r="F43" s="10"/>
      <c r="I43" s="10"/>
    </row>
    <row r="44" spans="2:10" ht="14.25" customHeight="1" x14ac:dyDescent="0.35">
      <c r="E44" s="10"/>
      <c r="F44" s="10"/>
      <c r="I44" s="10"/>
    </row>
    <row r="45" spans="2:10" ht="14.25" customHeight="1" x14ac:dyDescent="0.35">
      <c r="E45" s="10"/>
      <c r="F45" s="10"/>
      <c r="I45" s="10"/>
    </row>
    <row r="46" spans="2:10" ht="14.25" customHeight="1" x14ac:dyDescent="0.35">
      <c r="E46" s="10"/>
      <c r="F46" s="10"/>
      <c r="I46" s="10"/>
    </row>
    <row r="47" spans="2:10" ht="14.25" customHeight="1" x14ac:dyDescent="0.35">
      <c r="E47" s="10"/>
      <c r="F47" s="10"/>
      <c r="I47" s="10"/>
    </row>
    <row r="48" spans="2:10" ht="14.25" customHeight="1" x14ac:dyDescent="0.35">
      <c r="E48" s="10"/>
      <c r="F48" s="10"/>
      <c r="I48" s="10"/>
    </row>
    <row r="49" spans="5:9" ht="14.25" customHeight="1" x14ac:dyDescent="0.35">
      <c r="E49" s="10"/>
      <c r="F49" s="10"/>
      <c r="I49" s="10"/>
    </row>
    <row r="50" spans="5:9" ht="14.25" customHeight="1" x14ac:dyDescent="0.35">
      <c r="E50" s="10"/>
      <c r="F50" s="10"/>
      <c r="I50" s="10"/>
    </row>
    <row r="51" spans="5:9" ht="14.25" customHeight="1" x14ac:dyDescent="0.35">
      <c r="E51" s="10"/>
      <c r="F51" s="10"/>
      <c r="I51" s="10"/>
    </row>
    <row r="52" spans="5:9" ht="14.25" customHeight="1" x14ac:dyDescent="0.35">
      <c r="E52" s="10"/>
      <c r="F52" s="10"/>
      <c r="I52" s="10"/>
    </row>
    <row r="53" spans="5:9" ht="14.25" customHeight="1" x14ac:dyDescent="0.35">
      <c r="E53" s="10"/>
      <c r="F53" s="10"/>
      <c r="I53" s="10"/>
    </row>
    <row r="54" spans="5:9" ht="14.25" customHeight="1" x14ac:dyDescent="0.35">
      <c r="E54" s="10"/>
      <c r="F54" s="10"/>
      <c r="I54" s="10"/>
    </row>
    <row r="55" spans="5:9" ht="14.25" customHeight="1" x14ac:dyDescent="0.35">
      <c r="E55" s="10"/>
      <c r="F55" s="10"/>
      <c r="I55" s="10"/>
    </row>
    <row r="56" spans="5:9" ht="14.25" customHeight="1" x14ac:dyDescent="0.35">
      <c r="E56" s="10"/>
      <c r="F56" s="10"/>
      <c r="I56" s="10"/>
    </row>
    <row r="57" spans="5:9" ht="14.25" customHeight="1" x14ac:dyDescent="0.35">
      <c r="E57" s="10"/>
      <c r="F57" s="10"/>
      <c r="I57" s="10"/>
    </row>
    <row r="58" spans="5:9" ht="14.25" customHeight="1" x14ac:dyDescent="0.35">
      <c r="E58" s="10"/>
      <c r="F58" s="10"/>
      <c r="I58" s="10"/>
    </row>
    <row r="59" spans="5:9" ht="14.25" customHeight="1" x14ac:dyDescent="0.35">
      <c r="E59" s="10"/>
      <c r="F59" s="10"/>
      <c r="I59" s="10"/>
    </row>
    <row r="60" spans="5:9" ht="14.25" customHeight="1" x14ac:dyDescent="0.35">
      <c r="E60" s="10"/>
      <c r="F60" s="10"/>
      <c r="I60" s="10"/>
    </row>
    <row r="61" spans="5:9" ht="14.25" customHeight="1" x14ac:dyDescent="0.35">
      <c r="E61" s="10"/>
      <c r="F61" s="10"/>
      <c r="I61" s="10"/>
    </row>
    <row r="62" spans="5:9" ht="14.25" customHeight="1" x14ac:dyDescent="0.35">
      <c r="E62" s="10"/>
      <c r="F62" s="10"/>
      <c r="I62" s="10"/>
    </row>
    <row r="63" spans="5:9" ht="14.25" customHeight="1" x14ac:dyDescent="0.35">
      <c r="E63" s="10"/>
      <c r="F63" s="10"/>
      <c r="I63" s="10"/>
    </row>
    <row r="64" spans="5:9" ht="14.25" customHeight="1" x14ac:dyDescent="0.35">
      <c r="E64" s="10"/>
      <c r="F64" s="10"/>
      <c r="I64" s="10"/>
    </row>
    <row r="65" spans="5:9" ht="14.25" customHeight="1" x14ac:dyDescent="0.35">
      <c r="E65" s="10"/>
      <c r="F65" s="10"/>
      <c r="I65" s="10"/>
    </row>
    <row r="66" spans="5:9" ht="14.25" customHeight="1" x14ac:dyDescent="0.35">
      <c r="E66" s="10"/>
      <c r="F66" s="10"/>
      <c r="I66" s="10"/>
    </row>
    <row r="67" spans="5:9" ht="14.25" customHeight="1" x14ac:dyDescent="0.35">
      <c r="E67" s="10"/>
      <c r="F67" s="10"/>
      <c r="I67" s="10"/>
    </row>
    <row r="68" spans="5:9" ht="14.25" customHeight="1" x14ac:dyDescent="0.35">
      <c r="E68" s="10"/>
      <c r="F68" s="10"/>
      <c r="I68" s="10"/>
    </row>
    <row r="69" spans="5:9" ht="14.25" customHeight="1" x14ac:dyDescent="0.35">
      <c r="E69" s="10"/>
      <c r="F69" s="10"/>
      <c r="I69" s="10"/>
    </row>
    <row r="70" spans="5:9" ht="14.25" customHeight="1" x14ac:dyDescent="0.35">
      <c r="E70" s="10"/>
      <c r="F70" s="10"/>
      <c r="I70" s="10"/>
    </row>
    <row r="71" spans="5:9" ht="14.25" customHeight="1" x14ac:dyDescent="0.35">
      <c r="E71" s="10"/>
      <c r="F71" s="10"/>
      <c r="I71" s="10"/>
    </row>
    <row r="72" spans="5:9" ht="14.25" customHeight="1" x14ac:dyDescent="0.35">
      <c r="E72" s="10"/>
      <c r="F72" s="10"/>
      <c r="I72" s="10"/>
    </row>
    <row r="73" spans="5:9" ht="14.25" customHeight="1" x14ac:dyDescent="0.35">
      <c r="E73" s="10"/>
      <c r="F73" s="10"/>
      <c r="I73" s="10"/>
    </row>
    <row r="74" spans="5:9" ht="14.25" customHeight="1" x14ac:dyDescent="0.35">
      <c r="E74" s="10"/>
      <c r="F74" s="10"/>
      <c r="I74" s="10"/>
    </row>
    <row r="75" spans="5:9" ht="14.25" customHeight="1" x14ac:dyDescent="0.35">
      <c r="E75" s="10"/>
      <c r="F75" s="10"/>
      <c r="I75" s="10"/>
    </row>
    <row r="76" spans="5:9" ht="14.25" customHeight="1" x14ac:dyDescent="0.35">
      <c r="E76" s="10"/>
      <c r="F76" s="10"/>
      <c r="I76" s="10"/>
    </row>
    <row r="77" spans="5:9" ht="14.25" customHeight="1" x14ac:dyDescent="0.35">
      <c r="E77" s="10"/>
      <c r="F77" s="10"/>
      <c r="I77" s="10"/>
    </row>
    <row r="78" spans="5:9" ht="14.25" customHeight="1" x14ac:dyDescent="0.35">
      <c r="E78" s="10"/>
      <c r="F78" s="10"/>
      <c r="I78" s="10"/>
    </row>
    <row r="79" spans="5:9" ht="14.25" customHeight="1" x14ac:dyDescent="0.35">
      <c r="E79" s="10"/>
      <c r="F79" s="10"/>
      <c r="I79" s="10"/>
    </row>
    <row r="80" spans="5:9" ht="14.25" customHeight="1" x14ac:dyDescent="0.35">
      <c r="E80" s="10"/>
      <c r="F80" s="10"/>
      <c r="I80" s="10"/>
    </row>
    <row r="81" spans="5:9" ht="14.25" customHeight="1" x14ac:dyDescent="0.35">
      <c r="E81" s="10"/>
      <c r="F81" s="10"/>
      <c r="I81" s="10"/>
    </row>
    <row r="82" spans="5:9" ht="14.25" customHeight="1" x14ac:dyDescent="0.35">
      <c r="E82" s="10"/>
      <c r="F82" s="10"/>
      <c r="I82" s="10"/>
    </row>
    <row r="83" spans="5:9" ht="14.25" customHeight="1" x14ac:dyDescent="0.35">
      <c r="E83" s="10"/>
      <c r="F83" s="10"/>
      <c r="I83" s="10"/>
    </row>
    <row r="84" spans="5:9" ht="14.25" customHeight="1" x14ac:dyDescent="0.35">
      <c r="E84" s="10"/>
      <c r="F84" s="10"/>
      <c r="I84" s="10"/>
    </row>
    <row r="85" spans="5:9" ht="14.25" customHeight="1" x14ac:dyDescent="0.35">
      <c r="E85" s="10"/>
      <c r="F85" s="10"/>
      <c r="I85" s="10"/>
    </row>
    <row r="86" spans="5:9" ht="14.25" customHeight="1" x14ac:dyDescent="0.35">
      <c r="E86" s="10"/>
      <c r="F86" s="10"/>
      <c r="I86" s="10"/>
    </row>
    <row r="87" spans="5:9" ht="14.25" customHeight="1" x14ac:dyDescent="0.35">
      <c r="E87" s="10"/>
      <c r="F87" s="10"/>
      <c r="I87" s="10"/>
    </row>
    <row r="88" spans="5:9" ht="14.25" customHeight="1" x14ac:dyDescent="0.35">
      <c r="E88" s="10"/>
      <c r="F88" s="10"/>
      <c r="I88" s="10"/>
    </row>
    <row r="89" spans="5:9" ht="14.25" customHeight="1" x14ac:dyDescent="0.35">
      <c r="E89" s="10"/>
      <c r="F89" s="10"/>
      <c r="I89" s="10"/>
    </row>
    <row r="90" spans="5:9" ht="14.25" customHeight="1" x14ac:dyDescent="0.35">
      <c r="E90" s="10"/>
      <c r="F90" s="10"/>
      <c r="I90" s="10"/>
    </row>
    <row r="91" spans="5:9" ht="14.25" customHeight="1" x14ac:dyDescent="0.35">
      <c r="E91" s="10"/>
      <c r="F91" s="10"/>
      <c r="I91" s="10"/>
    </row>
    <row r="92" spans="5:9" ht="14.25" customHeight="1" x14ac:dyDescent="0.35">
      <c r="E92" s="10"/>
      <c r="F92" s="10"/>
      <c r="I92" s="10"/>
    </row>
    <row r="93" spans="5:9" ht="14.25" customHeight="1" x14ac:dyDescent="0.35">
      <c r="E93" s="10"/>
      <c r="F93" s="10"/>
      <c r="I93" s="10"/>
    </row>
    <row r="94" spans="5:9" ht="14.25" customHeight="1" x14ac:dyDescent="0.35">
      <c r="E94" s="10"/>
      <c r="F94" s="10"/>
      <c r="I94" s="10"/>
    </row>
    <row r="95" spans="5:9" ht="14.25" customHeight="1" x14ac:dyDescent="0.35">
      <c r="E95" s="10"/>
      <c r="F95" s="10"/>
      <c r="I95" s="10"/>
    </row>
    <row r="96" spans="5:9" ht="14.25" customHeight="1" x14ac:dyDescent="0.35">
      <c r="E96" s="10"/>
      <c r="F96" s="10"/>
      <c r="I96" s="10"/>
    </row>
    <row r="97" spans="5:9" ht="14.25" customHeight="1" x14ac:dyDescent="0.35">
      <c r="E97" s="10"/>
      <c r="F97" s="10"/>
      <c r="I97" s="10"/>
    </row>
    <row r="98" spans="5:9" ht="14.25" customHeight="1" x14ac:dyDescent="0.35">
      <c r="E98" s="10"/>
      <c r="F98" s="10"/>
      <c r="I98" s="10"/>
    </row>
    <row r="99" spans="5:9" ht="14.25" customHeight="1" x14ac:dyDescent="0.35">
      <c r="E99" s="10"/>
      <c r="F99" s="10"/>
      <c r="I99" s="10"/>
    </row>
    <row r="100" spans="5:9" ht="14.25" customHeight="1" x14ac:dyDescent="0.35">
      <c r="E100" s="10"/>
      <c r="F100" s="10"/>
      <c r="I100" s="10"/>
    </row>
    <row r="101" spans="5:9" ht="14.25" customHeight="1" x14ac:dyDescent="0.35">
      <c r="E101" s="10"/>
      <c r="F101" s="10"/>
      <c r="I101" s="10"/>
    </row>
    <row r="102" spans="5:9" ht="14.25" customHeight="1" x14ac:dyDescent="0.35">
      <c r="E102" s="10"/>
      <c r="F102" s="10"/>
      <c r="I102" s="10"/>
    </row>
    <row r="103" spans="5:9" ht="14.25" customHeight="1" x14ac:dyDescent="0.35">
      <c r="E103" s="10"/>
      <c r="F103" s="10"/>
      <c r="I103" s="10"/>
    </row>
    <row r="104" spans="5:9" ht="14.25" customHeight="1" x14ac:dyDescent="0.35">
      <c r="E104" s="10"/>
      <c r="F104" s="10"/>
      <c r="I104" s="10"/>
    </row>
    <row r="105" spans="5:9" ht="14.25" customHeight="1" x14ac:dyDescent="0.35">
      <c r="E105" s="10"/>
      <c r="F105" s="10"/>
      <c r="I105" s="10"/>
    </row>
    <row r="106" spans="5:9" ht="14.25" customHeight="1" x14ac:dyDescent="0.35">
      <c r="E106" s="10"/>
      <c r="F106" s="10"/>
      <c r="I106" s="10"/>
    </row>
    <row r="107" spans="5:9" ht="14.25" customHeight="1" x14ac:dyDescent="0.35">
      <c r="E107" s="10"/>
      <c r="F107" s="10"/>
      <c r="I107" s="10"/>
    </row>
    <row r="108" spans="5:9" ht="14.25" customHeight="1" x14ac:dyDescent="0.35">
      <c r="E108" s="10"/>
      <c r="F108" s="10"/>
      <c r="I108" s="10"/>
    </row>
    <row r="109" spans="5:9" ht="14.25" customHeight="1" x14ac:dyDescent="0.35">
      <c r="E109" s="10"/>
      <c r="F109" s="10"/>
      <c r="I109" s="10"/>
    </row>
    <row r="110" spans="5:9" ht="14.25" customHeight="1" x14ac:dyDescent="0.35">
      <c r="E110" s="10"/>
      <c r="F110" s="10"/>
      <c r="I110" s="10"/>
    </row>
    <row r="111" spans="5:9" ht="14.25" customHeight="1" x14ac:dyDescent="0.35">
      <c r="E111" s="10"/>
      <c r="F111" s="10"/>
      <c r="I111" s="10"/>
    </row>
    <row r="112" spans="5:9" ht="14.25" customHeight="1" x14ac:dyDescent="0.35">
      <c r="E112" s="10"/>
      <c r="F112" s="10"/>
      <c r="I112" s="10"/>
    </row>
    <row r="113" spans="5:9" ht="14.25" customHeight="1" x14ac:dyDescent="0.35">
      <c r="E113" s="10"/>
      <c r="F113" s="10"/>
      <c r="I113" s="10"/>
    </row>
    <row r="114" spans="5:9" ht="14.25" customHeight="1" x14ac:dyDescent="0.35">
      <c r="E114" s="10"/>
      <c r="F114" s="10"/>
      <c r="I114" s="10"/>
    </row>
    <row r="115" spans="5:9" ht="14.25" customHeight="1" x14ac:dyDescent="0.35">
      <c r="E115" s="10"/>
      <c r="F115" s="10"/>
      <c r="I115" s="10"/>
    </row>
    <row r="116" spans="5:9" ht="14.25" customHeight="1" x14ac:dyDescent="0.35">
      <c r="E116" s="10"/>
      <c r="F116" s="10"/>
      <c r="I116" s="10"/>
    </row>
    <row r="117" spans="5:9" ht="14.25" customHeight="1" x14ac:dyDescent="0.35">
      <c r="E117" s="10"/>
      <c r="F117" s="10"/>
      <c r="I117" s="10"/>
    </row>
    <row r="118" spans="5:9" ht="14.25" customHeight="1" x14ac:dyDescent="0.35">
      <c r="E118" s="10"/>
      <c r="F118" s="10"/>
      <c r="I118" s="10"/>
    </row>
    <row r="119" spans="5:9" ht="14.25" customHeight="1" x14ac:dyDescent="0.35">
      <c r="E119" s="10"/>
      <c r="F119" s="10"/>
      <c r="I119" s="10"/>
    </row>
    <row r="120" spans="5:9" ht="14.25" customHeight="1" x14ac:dyDescent="0.35">
      <c r="E120" s="10"/>
      <c r="F120" s="10"/>
      <c r="I120" s="10"/>
    </row>
    <row r="121" spans="5:9" ht="14.25" customHeight="1" x14ac:dyDescent="0.35">
      <c r="E121" s="10"/>
      <c r="F121" s="10"/>
      <c r="I121" s="10"/>
    </row>
    <row r="122" spans="5:9" ht="14.25" customHeight="1" x14ac:dyDescent="0.35">
      <c r="E122" s="10"/>
      <c r="F122" s="10"/>
      <c r="I122" s="10"/>
    </row>
    <row r="123" spans="5:9" ht="14.25" customHeight="1" x14ac:dyDescent="0.35">
      <c r="E123" s="10"/>
      <c r="F123" s="10"/>
      <c r="I123" s="10"/>
    </row>
    <row r="124" spans="5:9" ht="14.25" customHeight="1" x14ac:dyDescent="0.35">
      <c r="E124" s="10"/>
      <c r="F124" s="10"/>
      <c r="I124" s="10"/>
    </row>
    <row r="125" spans="5:9" ht="14.25" customHeight="1" x14ac:dyDescent="0.35">
      <c r="E125" s="10"/>
      <c r="F125" s="10"/>
      <c r="I125" s="10"/>
    </row>
    <row r="126" spans="5:9" ht="14.25" customHeight="1" x14ac:dyDescent="0.35">
      <c r="E126" s="10"/>
      <c r="F126" s="10"/>
      <c r="I126" s="10"/>
    </row>
    <row r="127" spans="5:9" ht="14.25" customHeight="1" x14ac:dyDescent="0.35">
      <c r="E127" s="10"/>
      <c r="F127" s="10"/>
      <c r="I127" s="10"/>
    </row>
    <row r="128" spans="5:9" ht="14.25" customHeight="1" x14ac:dyDescent="0.35">
      <c r="E128" s="10"/>
      <c r="F128" s="10"/>
      <c r="I128" s="10"/>
    </row>
    <row r="129" spans="5:9" ht="14.25" customHeight="1" x14ac:dyDescent="0.35">
      <c r="E129" s="10"/>
      <c r="F129" s="10"/>
      <c r="I129" s="10"/>
    </row>
    <row r="130" spans="5:9" ht="14.25" customHeight="1" x14ac:dyDescent="0.35">
      <c r="E130" s="10"/>
      <c r="F130" s="10"/>
      <c r="I130" s="10"/>
    </row>
    <row r="131" spans="5:9" ht="14.25" customHeight="1" x14ac:dyDescent="0.35">
      <c r="E131" s="10"/>
      <c r="F131" s="10"/>
      <c r="I131" s="10"/>
    </row>
    <row r="132" spans="5:9" ht="14.25" customHeight="1" x14ac:dyDescent="0.35">
      <c r="E132" s="10"/>
      <c r="F132" s="10"/>
      <c r="I132" s="10"/>
    </row>
    <row r="133" spans="5:9" ht="14.25" customHeight="1" x14ac:dyDescent="0.35">
      <c r="E133" s="10"/>
      <c r="F133" s="10"/>
      <c r="I133" s="10"/>
    </row>
    <row r="134" spans="5:9" ht="14.25" customHeight="1" x14ac:dyDescent="0.35">
      <c r="E134" s="10"/>
      <c r="F134" s="10"/>
      <c r="I134" s="10"/>
    </row>
    <row r="135" spans="5:9" ht="14.25" customHeight="1" x14ac:dyDescent="0.35">
      <c r="E135" s="10"/>
      <c r="F135" s="10"/>
      <c r="I135" s="10"/>
    </row>
    <row r="136" spans="5:9" ht="14.25" customHeight="1" x14ac:dyDescent="0.35">
      <c r="E136" s="10"/>
      <c r="F136" s="10"/>
      <c r="I136" s="10"/>
    </row>
    <row r="137" spans="5:9" ht="14.25" customHeight="1" x14ac:dyDescent="0.35">
      <c r="E137" s="10"/>
      <c r="F137" s="10"/>
      <c r="I137" s="10"/>
    </row>
    <row r="138" spans="5:9" ht="14.25" customHeight="1" x14ac:dyDescent="0.35">
      <c r="E138" s="10"/>
      <c r="F138" s="10"/>
      <c r="I138" s="10"/>
    </row>
    <row r="139" spans="5:9" ht="14.25" customHeight="1" x14ac:dyDescent="0.35">
      <c r="E139" s="10"/>
      <c r="F139" s="10"/>
      <c r="I139" s="10"/>
    </row>
    <row r="140" spans="5:9" ht="14.25" customHeight="1" x14ac:dyDescent="0.35">
      <c r="E140" s="10"/>
      <c r="F140" s="10"/>
      <c r="I140" s="10"/>
    </row>
    <row r="141" spans="5:9" ht="14.25" customHeight="1" x14ac:dyDescent="0.35">
      <c r="E141" s="10"/>
      <c r="F141" s="10"/>
      <c r="I141" s="10"/>
    </row>
    <row r="142" spans="5:9" ht="14.25" customHeight="1" x14ac:dyDescent="0.35">
      <c r="E142" s="10"/>
      <c r="F142" s="10"/>
      <c r="I142" s="10"/>
    </row>
    <row r="143" spans="5:9" ht="14.25" customHeight="1" x14ac:dyDescent="0.35">
      <c r="E143" s="10"/>
      <c r="F143" s="10"/>
      <c r="I143" s="10"/>
    </row>
    <row r="144" spans="5:9" ht="14.25" customHeight="1" x14ac:dyDescent="0.35">
      <c r="E144" s="10"/>
      <c r="F144" s="10"/>
      <c r="I144" s="10"/>
    </row>
    <row r="145" spans="5:9" ht="14.25" customHeight="1" x14ac:dyDescent="0.35">
      <c r="E145" s="10"/>
      <c r="F145" s="10"/>
      <c r="I145" s="10"/>
    </row>
    <row r="146" spans="5:9" ht="14.25" customHeight="1" x14ac:dyDescent="0.35">
      <c r="E146" s="10"/>
      <c r="F146" s="10"/>
      <c r="I146" s="10"/>
    </row>
    <row r="147" spans="5:9" ht="14.25" customHeight="1" x14ac:dyDescent="0.35">
      <c r="E147" s="10"/>
      <c r="F147" s="10"/>
      <c r="I147" s="10"/>
    </row>
    <row r="148" spans="5:9" ht="14.25" customHeight="1" x14ac:dyDescent="0.35">
      <c r="E148" s="10"/>
      <c r="F148" s="10"/>
      <c r="I148" s="10"/>
    </row>
    <row r="149" spans="5:9" ht="14.25" customHeight="1" x14ac:dyDescent="0.35">
      <c r="E149" s="10"/>
      <c r="F149" s="10"/>
      <c r="I149" s="10"/>
    </row>
    <row r="150" spans="5:9" ht="14.25" customHeight="1" x14ac:dyDescent="0.35">
      <c r="E150" s="10"/>
      <c r="F150" s="10"/>
      <c r="I150" s="10"/>
    </row>
    <row r="151" spans="5:9" ht="14.25" customHeight="1" x14ac:dyDescent="0.35">
      <c r="E151" s="10"/>
      <c r="F151" s="10"/>
      <c r="I151" s="10"/>
    </row>
    <row r="152" spans="5:9" ht="14.25" customHeight="1" x14ac:dyDescent="0.35">
      <c r="E152" s="10"/>
      <c r="F152" s="10"/>
      <c r="I152" s="10"/>
    </row>
    <row r="153" spans="5:9" ht="14.25" customHeight="1" x14ac:dyDescent="0.35">
      <c r="E153" s="10"/>
      <c r="F153" s="10"/>
      <c r="I153" s="10"/>
    </row>
    <row r="154" spans="5:9" ht="14.25" customHeight="1" x14ac:dyDescent="0.35">
      <c r="E154" s="10"/>
      <c r="F154" s="10"/>
      <c r="I154" s="10"/>
    </row>
    <row r="155" spans="5:9" ht="14.25" customHeight="1" x14ac:dyDescent="0.35">
      <c r="E155" s="10"/>
      <c r="F155" s="10"/>
      <c r="I155" s="10"/>
    </row>
    <row r="156" spans="5:9" ht="14.25" customHeight="1" x14ac:dyDescent="0.35">
      <c r="E156" s="10"/>
      <c r="F156" s="10"/>
      <c r="I156" s="10"/>
    </row>
    <row r="157" spans="5:9" ht="14.25" customHeight="1" x14ac:dyDescent="0.35">
      <c r="E157" s="10"/>
      <c r="F157" s="10"/>
      <c r="I157" s="10"/>
    </row>
    <row r="158" spans="5:9" ht="14.25" customHeight="1" x14ac:dyDescent="0.35">
      <c r="E158" s="10"/>
      <c r="F158" s="10"/>
      <c r="I158" s="10"/>
    </row>
    <row r="159" spans="5:9" ht="14.25" customHeight="1" x14ac:dyDescent="0.35">
      <c r="E159" s="10"/>
      <c r="F159" s="10"/>
      <c r="I159" s="10"/>
    </row>
    <row r="160" spans="5:9" ht="14.25" customHeight="1" x14ac:dyDescent="0.35">
      <c r="E160" s="10"/>
      <c r="F160" s="10"/>
      <c r="I160" s="10"/>
    </row>
    <row r="161" spans="5:9" ht="14.25" customHeight="1" x14ac:dyDescent="0.35">
      <c r="E161" s="10"/>
      <c r="F161" s="10"/>
      <c r="I161" s="10"/>
    </row>
    <row r="162" spans="5:9" ht="14.25" customHeight="1" x14ac:dyDescent="0.35">
      <c r="E162" s="10"/>
      <c r="F162" s="10"/>
      <c r="I162" s="10"/>
    </row>
    <row r="163" spans="5:9" ht="14.25" customHeight="1" x14ac:dyDescent="0.35">
      <c r="E163" s="10"/>
      <c r="F163" s="10"/>
      <c r="I163" s="10"/>
    </row>
    <row r="164" spans="5:9" ht="14.25" customHeight="1" x14ac:dyDescent="0.35">
      <c r="E164" s="10"/>
      <c r="F164" s="10"/>
      <c r="I164" s="10"/>
    </row>
    <row r="165" spans="5:9" ht="14.25" customHeight="1" x14ac:dyDescent="0.35">
      <c r="E165" s="10"/>
      <c r="F165" s="10"/>
      <c r="I165" s="10"/>
    </row>
    <row r="166" spans="5:9" ht="14.25" customHeight="1" x14ac:dyDescent="0.35">
      <c r="E166" s="10"/>
      <c r="F166" s="10"/>
      <c r="I166" s="10"/>
    </row>
    <row r="167" spans="5:9" ht="14.25" customHeight="1" x14ac:dyDescent="0.35">
      <c r="E167" s="10"/>
      <c r="F167" s="10"/>
      <c r="I167" s="10"/>
    </row>
    <row r="168" spans="5:9" ht="14.25" customHeight="1" x14ac:dyDescent="0.35">
      <c r="E168" s="10"/>
      <c r="F168" s="10"/>
      <c r="I168" s="10"/>
    </row>
    <row r="169" spans="5:9" ht="14.25" customHeight="1" x14ac:dyDescent="0.35">
      <c r="E169" s="10"/>
      <c r="F169" s="10"/>
      <c r="I169" s="10"/>
    </row>
    <row r="170" spans="5:9" ht="14.25" customHeight="1" x14ac:dyDescent="0.35">
      <c r="E170" s="10"/>
      <c r="F170" s="10"/>
      <c r="I170" s="10"/>
    </row>
    <row r="171" spans="5:9" ht="14.25" customHeight="1" x14ac:dyDescent="0.35">
      <c r="E171" s="10"/>
      <c r="F171" s="10"/>
      <c r="I171" s="10"/>
    </row>
    <row r="172" spans="5:9" ht="14.25" customHeight="1" x14ac:dyDescent="0.35">
      <c r="E172" s="10"/>
      <c r="F172" s="10"/>
      <c r="I172" s="10"/>
    </row>
    <row r="173" spans="5:9" ht="14.25" customHeight="1" x14ac:dyDescent="0.35">
      <c r="E173" s="10"/>
      <c r="F173" s="10"/>
      <c r="I173" s="10"/>
    </row>
    <row r="174" spans="5:9" ht="14.25" customHeight="1" x14ac:dyDescent="0.35">
      <c r="E174" s="10"/>
      <c r="F174" s="10"/>
      <c r="I174" s="10"/>
    </row>
    <row r="175" spans="5:9" ht="14.25" customHeight="1" x14ac:dyDescent="0.35">
      <c r="E175" s="10"/>
      <c r="F175" s="10"/>
      <c r="I175" s="10"/>
    </row>
    <row r="176" spans="5:9" ht="14.25" customHeight="1" x14ac:dyDescent="0.35">
      <c r="E176" s="10"/>
      <c r="F176" s="10"/>
      <c r="I176" s="10"/>
    </row>
    <row r="177" spans="5:9" ht="14.25" customHeight="1" x14ac:dyDescent="0.35">
      <c r="E177" s="10"/>
      <c r="F177" s="10"/>
      <c r="I177" s="10"/>
    </row>
    <row r="178" spans="5:9" ht="14.25" customHeight="1" x14ac:dyDescent="0.35">
      <c r="E178" s="10"/>
      <c r="F178" s="10"/>
      <c r="I178" s="10"/>
    </row>
    <row r="179" spans="5:9" ht="14.25" customHeight="1" x14ac:dyDescent="0.35">
      <c r="E179" s="10"/>
      <c r="F179" s="10"/>
      <c r="I179" s="10"/>
    </row>
    <row r="180" spans="5:9" ht="14.25" customHeight="1" x14ac:dyDescent="0.35">
      <c r="E180" s="10"/>
      <c r="F180" s="10"/>
      <c r="I180" s="10"/>
    </row>
    <row r="181" spans="5:9" ht="14.25" customHeight="1" x14ac:dyDescent="0.35">
      <c r="E181" s="10"/>
      <c r="F181" s="10"/>
      <c r="I181" s="10"/>
    </row>
    <row r="182" spans="5:9" ht="14.25" customHeight="1" x14ac:dyDescent="0.35">
      <c r="E182" s="10"/>
      <c r="F182" s="10"/>
      <c r="I182" s="10"/>
    </row>
    <row r="183" spans="5:9" ht="14.25" customHeight="1" x14ac:dyDescent="0.35">
      <c r="E183" s="10"/>
      <c r="F183" s="10"/>
      <c r="I183" s="10"/>
    </row>
    <row r="184" spans="5:9" ht="14.25" customHeight="1" x14ac:dyDescent="0.35">
      <c r="E184" s="10"/>
      <c r="F184" s="10"/>
      <c r="I184" s="10"/>
    </row>
    <row r="185" spans="5:9" ht="14.25" customHeight="1" x14ac:dyDescent="0.35">
      <c r="E185" s="10"/>
      <c r="F185" s="10"/>
      <c r="I185" s="10"/>
    </row>
    <row r="186" spans="5:9" ht="14.25" customHeight="1" x14ac:dyDescent="0.35">
      <c r="E186" s="10"/>
      <c r="F186" s="10"/>
      <c r="I186" s="10"/>
    </row>
    <row r="187" spans="5:9" ht="14.25" customHeight="1" x14ac:dyDescent="0.35">
      <c r="E187" s="10"/>
      <c r="F187" s="10"/>
      <c r="I187" s="10"/>
    </row>
    <row r="188" spans="5:9" ht="14.25" customHeight="1" x14ac:dyDescent="0.35">
      <c r="E188" s="10"/>
      <c r="F188" s="10"/>
      <c r="I188" s="10"/>
    </row>
    <row r="189" spans="5:9" ht="14.25" customHeight="1" x14ac:dyDescent="0.35">
      <c r="E189" s="10"/>
      <c r="F189" s="10"/>
      <c r="I189" s="10"/>
    </row>
    <row r="190" spans="5:9" ht="14.25" customHeight="1" x14ac:dyDescent="0.35">
      <c r="E190" s="10"/>
      <c r="F190" s="10"/>
      <c r="I190" s="10"/>
    </row>
    <row r="191" spans="5:9" ht="14.25" customHeight="1" x14ac:dyDescent="0.35">
      <c r="E191" s="10"/>
      <c r="F191" s="10"/>
      <c r="I191" s="10"/>
    </row>
    <row r="192" spans="5:9" ht="14.25" customHeight="1" x14ac:dyDescent="0.35">
      <c r="E192" s="10"/>
      <c r="F192" s="10"/>
      <c r="I192" s="10"/>
    </row>
    <row r="193" spans="5:9" ht="14.25" customHeight="1" x14ac:dyDescent="0.35">
      <c r="E193" s="10"/>
      <c r="F193" s="10"/>
      <c r="I193" s="10"/>
    </row>
    <row r="194" spans="5:9" ht="14.25" customHeight="1" x14ac:dyDescent="0.35">
      <c r="E194" s="10"/>
      <c r="F194" s="10"/>
      <c r="I194" s="10"/>
    </row>
    <row r="195" spans="5:9" ht="14.25" customHeight="1" x14ac:dyDescent="0.35">
      <c r="E195" s="10"/>
      <c r="F195" s="10"/>
      <c r="I195" s="10"/>
    </row>
    <row r="196" spans="5:9" ht="14.25" customHeight="1" x14ac:dyDescent="0.35">
      <c r="E196" s="10"/>
      <c r="F196" s="10"/>
      <c r="I196" s="10"/>
    </row>
    <row r="197" spans="5:9" ht="14.25" customHeight="1" x14ac:dyDescent="0.35">
      <c r="E197" s="10"/>
      <c r="F197" s="10"/>
      <c r="I197" s="10"/>
    </row>
    <row r="198" spans="5:9" ht="14.25" customHeight="1" x14ac:dyDescent="0.35">
      <c r="E198" s="10"/>
      <c r="F198" s="10"/>
      <c r="I198" s="10"/>
    </row>
    <row r="199" spans="5:9" ht="14.25" customHeight="1" x14ac:dyDescent="0.35">
      <c r="E199" s="10"/>
      <c r="F199" s="10"/>
      <c r="I199" s="10"/>
    </row>
    <row r="200" spans="5:9" ht="14.25" customHeight="1" x14ac:dyDescent="0.35">
      <c r="E200" s="10"/>
      <c r="F200" s="10"/>
      <c r="I200" s="10"/>
    </row>
    <row r="201" spans="5:9" ht="14.25" customHeight="1" x14ac:dyDescent="0.35">
      <c r="E201" s="10"/>
      <c r="F201" s="10"/>
      <c r="I201" s="10"/>
    </row>
    <row r="202" spans="5:9" ht="14.25" customHeight="1" x14ac:dyDescent="0.35">
      <c r="E202" s="10"/>
      <c r="F202" s="10"/>
      <c r="I202" s="10"/>
    </row>
    <row r="203" spans="5:9" ht="14.25" customHeight="1" x14ac:dyDescent="0.35">
      <c r="E203" s="10"/>
      <c r="F203" s="10"/>
      <c r="I203" s="10"/>
    </row>
    <row r="204" spans="5:9" ht="14.25" customHeight="1" x14ac:dyDescent="0.35">
      <c r="E204" s="10"/>
      <c r="F204" s="10"/>
      <c r="I204" s="10"/>
    </row>
    <row r="205" spans="5:9" ht="14.25" customHeight="1" x14ac:dyDescent="0.35">
      <c r="E205" s="10"/>
      <c r="F205" s="10"/>
      <c r="I205" s="10"/>
    </row>
    <row r="206" spans="5:9" ht="14.25" customHeight="1" x14ac:dyDescent="0.35">
      <c r="E206" s="10"/>
      <c r="F206" s="10"/>
      <c r="I206" s="10"/>
    </row>
    <row r="207" spans="5:9" ht="14.25" customHeight="1" x14ac:dyDescent="0.35">
      <c r="E207" s="10"/>
      <c r="F207" s="10"/>
      <c r="I207" s="10"/>
    </row>
    <row r="208" spans="5:9" ht="14.25" customHeight="1" x14ac:dyDescent="0.35">
      <c r="E208" s="10"/>
      <c r="F208" s="10"/>
      <c r="I208" s="10"/>
    </row>
    <row r="209" spans="5:9" ht="14.25" customHeight="1" x14ac:dyDescent="0.35">
      <c r="E209" s="10"/>
      <c r="F209" s="10"/>
      <c r="I209" s="10"/>
    </row>
    <row r="210" spans="5:9" ht="14.25" customHeight="1" x14ac:dyDescent="0.35">
      <c r="E210" s="10"/>
      <c r="F210" s="10"/>
      <c r="I210" s="10"/>
    </row>
    <row r="211" spans="5:9" ht="14.25" customHeight="1" x14ac:dyDescent="0.35">
      <c r="E211" s="10"/>
      <c r="F211" s="10"/>
      <c r="I211" s="10"/>
    </row>
    <row r="212" spans="5:9" ht="14.25" customHeight="1" x14ac:dyDescent="0.35">
      <c r="E212" s="10"/>
      <c r="F212" s="10"/>
      <c r="I212" s="10"/>
    </row>
    <row r="213" spans="5:9" ht="14.25" customHeight="1" x14ac:dyDescent="0.35">
      <c r="E213" s="10"/>
      <c r="F213" s="10"/>
      <c r="I213" s="10"/>
    </row>
    <row r="214" spans="5:9" ht="14.25" customHeight="1" x14ac:dyDescent="0.35">
      <c r="E214" s="10"/>
      <c r="F214" s="10"/>
      <c r="I214" s="10"/>
    </row>
    <row r="215" spans="5:9" ht="14.25" customHeight="1" x14ac:dyDescent="0.35">
      <c r="E215" s="10"/>
      <c r="F215" s="10"/>
      <c r="I215" s="10"/>
    </row>
    <row r="216" spans="5:9" ht="14.25" customHeight="1" x14ac:dyDescent="0.35">
      <c r="E216" s="10"/>
      <c r="F216" s="10"/>
      <c r="I216" s="10"/>
    </row>
    <row r="217" spans="5:9" ht="14.25" customHeight="1" x14ac:dyDescent="0.35">
      <c r="E217" s="10"/>
      <c r="F217" s="10"/>
      <c r="I217" s="10"/>
    </row>
    <row r="218" spans="5:9" ht="14.25" customHeight="1" x14ac:dyDescent="0.35">
      <c r="E218" s="10"/>
      <c r="F218" s="10"/>
      <c r="I218" s="10"/>
    </row>
    <row r="219" spans="5:9" ht="14.25" customHeight="1" x14ac:dyDescent="0.35">
      <c r="E219" s="10"/>
      <c r="F219" s="10"/>
      <c r="I219" s="10"/>
    </row>
    <row r="220" spans="5:9" ht="14.25" customHeight="1" x14ac:dyDescent="0.35">
      <c r="E220" s="10"/>
      <c r="F220" s="10"/>
      <c r="I220" s="10"/>
    </row>
    <row r="221" spans="5:9" ht="14.25" customHeight="1" x14ac:dyDescent="0.35">
      <c r="E221" s="10"/>
      <c r="F221" s="10"/>
      <c r="I221" s="10"/>
    </row>
    <row r="222" spans="5:9" ht="14.25" customHeight="1" x14ac:dyDescent="0.35">
      <c r="E222" s="10"/>
      <c r="F222" s="10"/>
      <c r="I222" s="10"/>
    </row>
    <row r="223" spans="5:9" ht="14.25" customHeight="1" x14ac:dyDescent="0.35">
      <c r="E223" s="10"/>
      <c r="F223" s="10"/>
      <c r="I223" s="10"/>
    </row>
    <row r="224" spans="5:9" ht="14.25" customHeight="1" x14ac:dyDescent="0.35">
      <c r="E224" s="10"/>
      <c r="F224" s="10"/>
      <c r="I224" s="10"/>
    </row>
    <row r="225" spans="5:9" ht="14.25" customHeight="1" x14ac:dyDescent="0.35">
      <c r="E225" s="10"/>
      <c r="F225" s="10"/>
      <c r="I225" s="10"/>
    </row>
    <row r="226" spans="5:9" ht="14.25" customHeight="1" x14ac:dyDescent="0.35">
      <c r="E226" s="10"/>
      <c r="F226" s="10"/>
      <c r="I226" s="10"/>
    </row>
    <row r="227" spans="5:9" ht="14.25" customHeight="1" x14ac:dyDescent="0.35">
      <c r="E227" s="10"/>
      <c r="F227" s="10"/>
      <c r="I227" s="10"/>
    </row>
    <row r="228" spans="5:9" ht="14.25" customHeight="1" x14ac:dyDescent="0.35">
      <c r="E228" s="10"/>
      <c r="F228" s="10"/>
      <c r="I228" s="10"/>
    </row>
    <row r="229" spans="5:9" ht="14.25" customHeight="1" x14ac:dyDescent="0.35">
      <c r="E229" s="10"/>
      <c r="F229" s="10"/>
      <c r="I229" s="10"/>
    </row>
    <row r="230" spans="5:9" ht="14.25" customHeight="1" x14ac:dyDescent="0.35">
      <c r="E230" s="10"/>
      <c r="F230" s="10"/>
      <c r="I230" s="10"/>
    </row>
    <row r="231" spans="5:9" ht="14.25" customHeight="1" x14ac:dyDescent="0.35">
      <c r="E231" s="10"/>
      <c r="F231" s="10"/>
      <c r="I231" s="10"/>
    </row>
    <row r="232" spans="5:9" ht="14.25" customHeight="1" x14ac:dyDescent="0.35">
      <c r="E232" s="10"/>
      <c r="F232" s="10"/>
      <c r="I232" s="10"/>
    </row>
    <row r="233" spans="5:9" ht="14.25" customHeight="1" x14ac:dyDescent="0.35">
      <c r="E233" s="10"/>
      <c r="F233" s="10"/>
      <c r="I233" s="10"/>
    </row>
    <row r="234" spans="5:9" ht="14.25" customHeight="1" x14ac:dyDescent="0.35">
      <c r="E234" s="10"/>
      <c r="F234" s="10"/>
      <c r="I234" s="10"/>
    </row>
    <row r="235" spans="5:9" ht="14.25" customHeight="1" x14ac:dyDescent="0.35">
      <c r="E235" s="10"/>
      <c r="F235" s="10"/>
      <c r="I235" s="10"/>
    </row>
    <row r="236" spans="5:9" ht="14.25" customHeight="1" x14ac:dyDescent="0.35">
      <c r="E236" s="10"/>
      <c r="F236" s="10"/>
      <c r="I236" s="10"/>
    </row>
    <row r="237" spans="5:9" ht="14.25" customHeight="1" x14ac:dyDescent="0.35">
      <c r="E237" s="10"/>
      <c r="F237" s="10"/>
      <c r="I237" s="10"/>
    </row>
    <row r="238" spans="5:9" ht="14.25" customHeight="1" x14ac:dyDescent="0.35">
      <c r="E238" s="10"/>
      <c r="F238" s="10"/>
      <c r="I238" s="10"/>
    </row>
    <row r="239" spans="5:9" ht="14.25" customHeight="1" x14ac:dyDescent="0.35">
      <c r="E239" s="10"/>
      <c r="F239" s="10"/>
      <c r="I239" s="10"/>
    </row>
    <row r="240" spans="5:9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0">
    <mergeCell ref="C38:C39"/>
    <mergeCell ref="D38:D39"/>
    <mergeCell ref="E38:E39"/>
    <mergeCell ref="C28:D28"/>
    <mergeCell ref="B29:E29"/>
    <mergeCell ref="B30:I30"/>
    <mergeCell ref="C31:D31"/>
    <mergeCell ref="C32:D32"/>
    <mergeCell ref="C33:D33"/>
    <mergeCell ref="C25:D25"/>
    <mergeCell ref="C26:D26"/>
    <mergeCell ref="C27:D27"/>
    <mergeCell ref="B34:E34"/>
    <mergeCell ref="G34:H34"/>
    <mergeCell ref="G29:H29"/>
    <mergeCell ref="C21:D21"/>
    <mergeCell ref="C22:D22"/>
    <mergeCell ref="B23:E23"/>
    <mergeCell ref="G23:H23"/>
    <mergeCell ref="B24:I24"/>
    <mergeCell ref="C17:D17"/>
    <mergeCell ref="C18:D18"/>
    <mergeCell ref="B19:E19"/>
    <mergeCell ref="G19:H19"/>
    <mergeCell ref="B20:I20"/>
    <mergeCell ref="G12:H12"/>
    <mergeCell ref="B13:I13"/>
    <mergeCell ref="C14:D14"/>
    <mergeCell ref="C15:D15"/>
    <mergeCell ref="C16:D16"/>
    <mergeCell ref="C8:D8"/>
    <mergeCell ref="C9:D9"/>
    <mergeCell ref="C10:D10"/>
    <mergeCell ref="C11:D11"/>
    <mergeCell ref="B12:E12"/>
    <mergeCell ref="H1:I1"/>
    <mergeCell ref="B2:E3"/>
    <mergeCell ref="C5:D5"/>
    <mergeCell ref="B6:I6"/>
    <mergeCell ref="C7:D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topLeftCell="A69" zoomScale="80" zoomScaleNormal="80" workbookViewId="0">
      <selection activeCell="H85" sqref="H85"/>
    </sheetView>
  </sheetViews>
  <sheetFormatPr baseColWidth="10" defaultColWidth="12.6328125" defaultRowHeight="15" customHeight="1" x14ac:dyDescent="0.35"/>
  <cols>
    <col min="1" max="18" width="10.6328125" customWidth="1"/>
  </cols>
  <sheetData>
    <row r="1" spans="1:26" ht="14.2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5">
      <c r="A2" s="3"/>
      <c r="B2" s="139" t="s">
        <v>111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5">
      <c r="A3" s="3"/>
      <c r="B3" s="76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8"/>
      <c r="S3" s="3"/>
      <c r="T3" s="3"/>
      <c r="U3" s="3"/>
      <c r="V3" s="3"/>
      <c r="W3" s="3"/>
      <c r="X3" s="3"/>
      <c r="Y3" s="3"/>
      <c r="Z3" s="3"/>
    </row>
    <row r="4" spans="1:26" ht="19.5" customHeight="1" x14ac:dyDescent="0.45">
      <c r="A4" s="3"/>
      <c r="B4" s="140" t="s">
        <v>38</v>
      </c>
      <c r="C4" s="88"/>
      <c r="D4" s="141" t="s">
        <v>264</v>
      </c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88"/>
      <c r="S4" s="3"/>
      <c r="T4" s="3"/>
      <c r="U4" s="3"/>
      <c r="V4" s="3"/>
      <c r="W4" s="3"/>
      <c r="X4" s="3"/>
      <c r="Y4" s="3"/>
      <c r="Z4" s="3"/>
    </row>
    <row r="5" spans="1:26" ht="27" customHeight="1" x14ac:dyDescent="0.35">
      <c r="A5" s="3"/>
      <c r="B5" s="142" t="s">
        <v>39</v>
      </c>
      <c r="C5" s="90"/>
      <c r="D5" s="88"/>
      <c r="E5" s="102" t="s">
        <v>265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88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5">
      <c r="A6" s="3"/>
      <c r="B6" s="136" t="s">
        <v>112</v>
      </c>
      <c r="C6" s="94"/>
      <c r="D6" s="95"/>
      <c r="E6" s="122" t="s">
        <v>113</v>
      </c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4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5">
      <c r="A7" s="3"/>
      <c r="B7" s="143"/>
      <c r="C7" s="144"/>
      <c r="D7" s="145"/>
      <c r="E7" s="146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147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5">
      <c r="A8" s="3"/>
      <c r="B8" s="96"/>
      <c r="C8" s="97"/>
      <c r="D8" s="98"/>
      <c r="E8" s="125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7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5">
      <c r="A9" s="3"/>
      <c r="B9" s="136" t="s">
        <v>114</v>
      </c>
      <c r="C9" s="94"/>
      <c r="D9" s="95"/>
      <c r="E9" s="122" t="s">
        <v>115</v>
      </c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4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5">
      <c r="A10" s="3"/>
      <c r="B10" s="143"/>
      <c r="C10" s="144"/>
      <c r="D10" s="145"/>
      <c r="E10" s="146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147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5">
      <c r="A11" s="3"/>
      <c r="B11" s="96"/>
      <c r="C11" s="97"/>
      <c r="D11" s="98"/>
      <c r="E11" s="125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7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5">
      <c r="A12" s="3"/>
      <c r="B12" s="130" t="s">
        <v>116</v>
      </c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2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5">
      <c r="A13" s="3"/>
      <c r="B13" s="133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5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5">
      <c r="A14" s="3"/>
      <c r="B14" s="149" t="s">
        <v>117</v>
      </c>
      <c r="C14" s="94"/>
      <c r="D14" s="94"/>
      <c r="E14" s="94"/>
      <c r="F14" s="94"/>
      <c r="G14" s="95"/>
      <c r="H14" s="149" t="s">
        <v>118</v>
      </c>
      <c r="I14" s="94"/>
      <c r="J14" s="94"/>
      <c r="K14" s="94"/>
      <c r="L14" s="94"/>
      <c r="M14" s="94"/>
      <c r="N14" s="94"/>
      <c r="O14" s="94"/>
      <c r="P14" s="94"/>
      <c r="Q14" s="94"/>
      <c r="R14" s="95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5">
      <c r="A15" s="3"/>
      <c r="B15" s="96"/>
      <c r="C15" s="97"/>
      <c r="D15" s="97"/>
      <c r="E15" s="97"/>
      <c r="F15" s="97"/>
      <c r="G15" s="98"/>
      <c r="H15" s="150"/>
      <c r="I15" s="77"/>
      <c r="J15" s="77"/>
      <c r="K15" s="77"/>
      <c r="L15" s="77"/>
      <c r="M15" s="77"/>
      <c r="N15" s="77"/>
      <c r="O15" s="77"/>
      <c r="P15" s="77"/>
      <c r="Q15" s="77"/>
      <c r="R15" s="151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5">
      <c r="A16" s="3"/>
      <c r="B16" s="128" t="s">
        <v>119</v>
      </c>
      <c r="C16" s="123"/>
      <c r="D16" s="123"/>
      <c r="E16" s="123"/>
      <c r="F16" s="123"/>
      <c r="G16" s="124"/>
      <c r="H16" s="148" t="s">
        <v>120</v>
      </c>
      <c r="I16" s="72"/>
      <c r="J16" s="72"/>
      <c r="K16" s="72"/>
      <c r="L16" s="72"/>
      <c r="M16" s="72"/>
      <c r="N16" s="72"/>
      <c r="O16" s="72"/>
      <c r="P16" s="72"/>
      <c r="Q16" s="72"/>
      <c r="R16" s="147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5">
      <c r="A17" s="3"/>
      <c r="B17" s="146"/>
      <c r="C17" s="72"/>
      <c r="D17" s="72"/>
      <c r="E17" s="72"/>
      <c r="F17" s="72"/>
      <c r="G17" s="147"/>
      <c r="H17" s="148" t="s">
        <v>121</v>
      </c>
      <c r="I17" s="72"/>
      <c r="J17" s="72"/>
      <c r="K17" s="72"/>
      <c r="L17" s="72"/>
      <c r="M17" s="72"/>
      <c r="N17" s="72"/>
      <c r="O17" s="72"/>
      <c r="P17" s="72"/>
      <c r="Q17" s="72"/>
      <c r="R17" s="147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5">
      <c r="A18" s="3"/>
      <c r="B18" s="146"/>
      <c r="C18" s="72"/>
      <c r="D18" s="72"/>
      <c r="E18" s="72"/>
      <c r="F18" s="72"/>
      <c r="G18" s="147"/>
      <c r="H18" s="148" t="s">
        <v>122</v>
      </c>
      <c r="I18" s="72"/>
      <c r="J18" s="72"/>
      <c r="K18" s="72"/>
      <c r="L18" s="72"/>
      <c r="M18" s="72"/>
      <c r="N18" s="72"/>
      <c r="O18" s="72"/>
      <c r="P18" s="72"/>
      <c r="Q18" s="72"/>
      <c r="R18" s="147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5">
      <c r="A19" s="3"/>
      <c r="B19" s="125"/>
      <c r="C19" s="126"/>
      <c r="D19" s="126"/>
      <c r="E19" s="126"/>
      <c r="F19" s="126"/>
      <c r="G19" s="127"/>
      <c r="H19" s="152" t="s">
        <v>123</v>
      </c>
      <c r="I19" s="126"/>
      <c r="J19" s="126"/>
      <c r="K19" s="126"/>
      <c r="L19" s="126"/>
      <c r="M19" s="126"/>
      <c r="N19" s="126"/>
      <c r="O19" s="126"/>
      <c r="P19" s="126"/>
      <c r="Q19" s="126"/>
      <c r="R19" s="127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5">
      <c r="A20" s="3"/>
      <c r="B20" s="128" t="s">
        <v>124</v>
      </c>
      <c r="C20" s="123"/>
      <c r="D20" s="123"/>
      <c r="E20" s="123"/>
      <c r="F20" s="123"/>
      <c r="G20" s="124"/>
      <c r="H20" s="122" t="s">
        <v>125</v>
      </c>
      <c r="I20" s="123"/>
      <c r="J20" s="123"/>
      <c r="K20" s="123"/>
      <c r="L20" s="123"/>
      <c r="M20" s="123"/>
      <c r="N20" s="123"/>
      <c r="O20" s="123"/>
      <c r="P20" s="123"/>
      <c r="Q20" s="123"/>
      <c r="R20" s="124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5">
      <c r="A21" s="3"/>
      <c r="B21" s="146"/>
      <c r="C21" s="72"/>
      <c r="D21" s="72"/>
      <c r="E21" s="72"/>
      <c r="F21" s="72"/>
      <c r="G21" s="147"/>
      <c r="H21" s="148" t="s">
        <v>126</v>
      </c>
      <c r="I21" s="72"/>
      <c r="J21" s="72"/>
      <c r="K21" s="72"/>
      <c r="L21" s="72"/>
      <c r="M21" s="72"/>
      <c r="N21" s="72"/>
      <c r="O21" s="72"/>
      <c r="P21" s="72"/>
      <c r="Q21" s="72"/>
      <c r="R21" s="147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5">
      <c r="A22" s="3"/>
      <c r="B22" s="125"/>
      <c r="C22" s="126"/>
      <c r="D22" s="126"/>
      <c r="E22" s="126"/>
      <c r="F22" s="126"/>
      <c r="G22" s="127"/>
      <c r="H22" s="152" t="s">
        <v>127</v>
      </c>
      <c r="I22" s="126"/>
      <c r="J22" s="126"/>
      <c r="K22" s="126"/>
      <c r="L22" s="126"/>
      <c r="M22" s="126"/>
      <c r="N22" s="126"/>
      <c r="O22" s="126"/>
      <c r="P22" s="126"/>
      <c r="Q22" s="126"/>
      <c r="R22" s="127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5">
      <c r="A23" s="3"/>
      <c r="B23" s="128" t="s">
        <v>128</v>
      </c>
      <c r="C23" s="123"/>
      <c r="D23" s="123"/>
      <c r="E23" s="123"/>
      <c r="F23" s="123"/>
      <c r="G23" s="124"/>
      <c r="H23" s="122" t="s">
        <v>129</v>
      </c>
      <c r="I23" s="123"/>
      <c r="J23" s="123"/>
      <c r="K23" s="123"/>
      <c r="L23" s="123"/>
      <c r="M23" s="123"/>
      <c r="N23" s="123"/>
      <c r="O23" s="123"/>
      <c r="P23" s="123"/>
      <c r="Q23" s="123"/>
      <c r="R23" s="124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5">
      <c r="A24" s="3"/>
      <c r="B24" s="146"/>
      <c r="C24" s="72"/>
      <c r="D24" s="72"/>
      <c r="E24" s="72"/>
      <c r="F24" s="72"/>
      <c r="G24" s="147"/>
      <c r="H24" s="148" t="s">
        <v>130</v>
      </c>
      <c r="I24" s="72"/>
      <c r="J24" s="72"/>
      <c r="K24" s="72"/>
      <c r="L24" s="72"/>
      <c r="M24" s="72"/>
      <c r="N24" s="72"/>
      <c r="O24" s="72"/>
      <c r="P24" s="72"/>
      <c r="Q24" s="72"/>
      <c r="R24" s="147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5">
      <c r="A25" s="3"/>
      <c r="B25" s="125"/>
      <c r="C25" s="126"/>
      <c r="D25" s="126"/>
      <c r="E25" s="126"/>
      <c r="F25" s="126"/>
      <c r="G25" s="127"/>
      <c r="H25" s="152" t="s">
        <v>131</v>
      </c>
      <c r="I25" s="126"/>
      <c r="J25" s="126"/>
      <c r="K25" s="126"/>
      <c r="L25" s="126"/>
      <c r="M25" s="126"/>
      <c r="N25" s="126"/>
      <c r="O25" s="126"/>
      <c r="P25" s="126"/>
      <c r="Q25" s="126"/>
      <c r="R25" s="127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5">
      <c r="A26" s="3"/>
      <c r="B26" s="128" t="s">
        <v>276</v>
      </c>
      <c r="C26" s="123"/>
      <c r="D26" s="123"/>
      <c r="E26" s="123"/>
      <c r="F26" s="123"/>
      <c r="G26" s="124"/>
      <c r="H26" s="122" t="s">
        <v>132</v>
      </c>
      <c r="I26" s="123"/>
      <c r="J26" s="123"/>
      <c r="K26" s="123"/>
      <c r="L26" s="123"/>
      <c r="M26" s="123"/>
      <c r="N26" s="123"/>
      <c r="O26" s="123"/>
      <c r="P26" s="123"/>
      <c r="Q26" s="123"/>
      <c r="R26" s="124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5">
      <c r="A27" s="3"/>
      <c r="B27" s="146"/>
      <c r="C27" s="72"/>
      <c r="D27" s="72"/>
      <c r="E27" s="72"/>
      <c r="F27" s="72"/>
      <c r="G27" s="147"/>
      <c r="H27" s="148" t="s">
        <v>133</v>
      </c>
      <c r="I27" s="72"/>
      <c r="J27" s="72"/>
      <c r="K27" s="72"/>
      <c r="L27" s="72"/>
      <c r="M27" s="72"/>
      <c r="N27" s="72"/>
      <c r="O27" s="72"/>
      <c r="P27" s="72"/>
      <c r="Q27" s="72"/>
      <c r="R27" s="147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5">
      <c r="A28" s="3"/>
      <c r="B28" s="125"/>
      <c r="C28" s="126"/>
      <c r="D28" s="126"/>
      <c r="E28" s="126"/>
      <c r="F28" s="126"/>
      <c r="G28" s="127"/>
      <c r="H28" s="152" t="s">
        <v>134</v>
      </c>
      <c r="I28" s="126"/>
      <c r="J28" s="126"/>
      <c r="K28" s="126"/>
      <c r="L28" s="126"/>
      <c r="M28" s="126"/>
      <c r="N28" s="126"/>
      <c r="O28" s="126"/>
      <c r="P28" s="126"/>
      <c r="Q28" s="126"/>
      <c r="R28" s="127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5">
      <c r="A29" s="3"/>
      <c r="B29" s="130" t="s">
        <v>135</v>
      </c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2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5">
      <c r="A30" s="3"/>
      <c r="B30" s="133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5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5">
      <c r="A31" s="3"/>
      <c r="B31" s="136" t="s">
        <v>136</v>
      </c>
      <c r="C31" s="94"/>
      <c r="D31" s="94"/>
      <c r="E31" s="94"/>
      <c r="F31" s="94"/>
      <c r="G31" s="95"/>
      <c r="H31" s="136" t="s">
        <v>10</v>
      </c>
      <c r="I31" s="94"/>
      <c r="J31" s="94"/>
      <c r="K31" s="94"/>
      <c r="L31" s="94"/>
      <c r="M31" s="94"/>
      <c r="N31" s="94"/>
      <c r="O31" s="94"/>
      <c r="P31" s="94"/>
      <c r="Q31" s="94"/>
      <c r="R31" s="95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5">
      <c r="A32" s="3"/>
      <c r="B32" s="96"/>
      <c r="C32" s="97"/>
      <c r="D32" s="97"/>
      <c r="E32" s="97"/>
      <c r="F32" s="97"/>
      <c r="G32" s="98"/>
      <c r="H32" s="96"/>
      <c r="I32" s="97"/>
      <c r="J32" s="97"/>
      <c r="K32" s="97"/>
      <c r="L32" s="97"/>
      <c r="M32" s="97"/>
      <c r="N32" s="97"/>
      <c r="O32" s="97"/>
      <c r="P32" s="97"/>
      <c r="Q32" s="97"/>
      <c r="R32" s="98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5">
      <c r="A33" s="3"/>
      <c r="B33" s="128" t="s">
        <v>137</v>
      </c>
      <c r="C33" s="123"/>
      <c r="D33" s="123"/>
      <c r="E33" s="123"/>
      <c r="F33" s="123"/>
      <c r="G33" s="124"/>
      <c r="H33" s="122" t="s">
        <v>138</v>
      </c>
      <c r="I33" s="123"/>
      <c r="J33" s="123"/>
      <c r="K33" s="123"/>
      <c r="L33" s="123"/>
      <c r="M33" s="123"/>
      <c r="N33" s="123"/>
      <c r="O33" s="123"/>
      <c r="P33" s="123"/>
      <c r="Q33" s="123"/>
      <c r="R33" s="124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5">
      <c r="A34" s="3"/>
      <c r="B34" s="125"/>
      <c r="C34" s="126"/>
      <c r="D34" s="126"/>
      <c r="E34" s="126"/>
      <c r="F34" s="126"/>
      <c r="G34" s="127"/>
      <c r="H34" s="125"/>
      <c r="I34" s="126"/>
      <c r="J34" s="126"/>
      <c r="K34" s="126"/>
      <c r="L34" s="126"/>
      <c r="M34" s="126"/>
      <c r="N34" s="126"/>
      <c r="O34" s="126"/>
      <c r="P34" s="126"/>
      <c r="Q34" s="126"/>
      <c r="R34" s="127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5">
      <c r="A35" s="3"/>
      <c r="B35" s="128" t="s">
        <v>139</v>
      </c>
      <c r="C35" s="123"/>
      <c r="D35" s="123"/>
      <c r="E35" s="123"/>
      <c r="F35" s="123"/>
      <c r="G35" s="124"/>
      <c r="H35" s="122" t="s">
        <v>140</v>
      </c>
      <c r="I35" s="123"/>
      <c r="J35" s="123"/>
      <c r="K35" s="123"/>
      <c r="L35" s="123"/>
      <c r="M35" s="123"/>
      <c r="N35" s="123"/>
      <c r="O35" s="123"/>
      <c r="P35" s="123"/>
      <c r="Q35" s="123"/>
      <c r="R35" s="124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5">
      <c r="A36" s="3"/>
      <c r="B36" s="125"/>
      <c r="C36" s="126"/>
      <c r="D36" s="126"/>
      <c r="E36" s="126"/>
      <c r="F36" s="126"/>
      <c r="G36" s="127"/>
      <c r="H36" s="125"/>
      <c r="I36" s="126"/>
      <c r="J36" s="126"/>
      <c r="K36" s="126"/>
      <c r="L36" s="126"/>
      <c r="M36" s="126"/>
      <c r="N36" s="126"/>
      <c r="O36" s="126"/>
      <c r="P36" s="126"/>
      <c r="Q36" s="126"/>
      <c r="R36" s="127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5">
      <c r="A37" s="3"/>
      <c r="B37" s="128" t="s">
        <v>141</v>
      </c>
      <c r="C37" s="123"/>
      <c r="D37" s="123"/>
      <c r="E37" s="123"/>
      <c r="F37" s="123"/>
      <c r="G37" s="124"/>
      <c r="H37" s="122" t="s">
        <v>142</v>
      </c>
      <c r="I37" s="123"/>
      <c r="J37" s="123"/>
      <c r="K37" s="123"/>
      <c r="L37" s="123"/>
      <c r="M37" s="123"/>
      <c r="N37" s="123"/>
      <c r="O37" s="123"/>
      <c r="P37" s="123"/>
      <c r="Q37" s="123"/>
      <c r="R37" s="124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5">
      <c r="A38" s="3"/>
      <c r="B38" s="125"/>
      <c r="C38" s="126"/>
      <c r="D38" s="126"/>
      <c r="E38" s="126"/>
      <c r="F38" s="126"/>
      <c r="G38" s="127"/>
      <c r="H38" s="125"/>
      <c r="I38" s="126"/>
      <c r="J38" s="126"/>
      <c r="K38" s="126"/>
      <c r="L38" s="126"/>
      <c r="M38" s="126"/>
      <c r="N38" s="126"/>
      <c r="O38" s="126"/>
      <c r="P38" s="126"/>
      <c r="Q38" s="126"/>
      <c r="R38" s="127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5">
      <c r="A39" s="3"/>
      <c r="B39" s="128" t="s">
        <v>143</v>
      </c>
      <c r="C39" s="123"/>
      <c r="D39" s="123"/>
      <c r="E39" s="123"/>
      <c r="F39" s="123"/>
      <c r="G39" s="124"/>
      <c r="H39" s="122" t="s">
        <v>144</v>
      </c>
      <c r="I39" s="123"/>
      <c r="J39" s="123"/>
      <c r="K39" s="123"/>
      <c r="L39" s="123"/>
      <c r="M39" s="123"/>
      <c r="N39" s="123"/>
      <c r="O39" s="123"/>
      <c r="P39" s="123"/>
      <c r="Q39" s="123"/>
      <c r="R39" s="124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5">
      <c r="A40" s="3"/>
      <c r="B40" s="125"/>
      <c r="C40" s="126"/>
      <c r="D40" s="126"/>
      <c r="E40" s="126"/>
      <c r="F40" s="126"/>
      <c r="G40" s="127"/>
      <c r="H40" s="125"/>
      <c r="I40" s="126"/>
      <c r="J40" s="126"/>
      <c r="K40" s="126"/>
      <c r="L40" s="126"/>
      <c r="M40" s="126"/>
      <c r="N40" s="126"/>
      <c r="O40" s="126"/>
      <c r="P40" s="126"/>
      <c r="Q40" s="126"/>
      <c r="R40" s="127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5">
      <c r="A41" s="3"/>
      <c r="B41" s="128" t="s">
        <v>145</v>
      </c>
      <c r="C41" s="123"/>
      <c r="D41" s="123"/>
      <c r="E41" s="123"/>
      <c r="F41" s="123"/>
      <c r="G41" s="124"/>
      <c r="H41" s="122" t="s">
        <v>146</v>
      </c>
      <c r="I41" s="123"/>
      <c r="J41" s="123"/>
      <c r="K41" s="123"/>
      <c r="L41" s="123"/>
      <c r="M41" s="123"/>
      <c r="N41" s="123"/>
      <c r="O41" s="123"/>
      <c r="P41" s="123"/>
      <c r="Q41" s="123"/>
      <c r="R41" s="124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5">
      <c r="A42" s="3"/>
      <c r="B42" s="125"/>
      <c r="C42" s="126"/>
      <c r="D42" s="126"/>
      <c r="E42" s="126"/>
      <c r="F42" s="126"/>
      <c r="G42" s="127"/>
      <c r="H42" s="125"/>
      <c r="I42" s="126"/>
      <c r="J42" s="126"/>
      <c r="K42" s="126"/>
      <c r="L42" s="126"/>
      <c r="M42" s="126"/>
      <c r="N42" s="126"/>
      <c r="O42" s="126"/>
      <c r="P42" s="126"/>
      <c r="Q42" s="126"/>
      <c r="R42" s="127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5">
      <c r="A43" s="3"/>
      <c r="B43" s="128" t="s">
        <v>147</v>
      </c>
      <c r="C43" s="123"/>
      <c r="D43" s="123"/>
      <c r="E43" s="123"/>
      <c r="F43" s="123"/>
      <c r="G43" s="124"/>
      <c r="H43" s="122" t="s">
        <v>148</v>
      </c>
      <c r="I43" s="123"/>
      <c r="J43" s="123"/>
      <c r="K43" s="123"/>
      <c r="L43" s="123"/>
      <c r="M43" s="123"/>
      <c r="N43" s="123"/>
      <c r="O43" s="123"/>
      <c r="P43" s="123"/>
      <c r="Q43" s="123"/>
      <c r="R43" s="124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5">
      <c r="A44" s="3"/>
      <c r="B44" s="125"/>
      <c r="C44" s="126"/>
      <c r="D44" s="126"/>
      <c r="E44" s="126"/>
      <c r="F44" s="126"/>
      <c r="G44" s="127"/>
      <c r="H44" s="125"/>
      <c r="I44" s="126"/>
      <c r="J44" s="126"/>
      <c r="K44" s="126"/>
      <c r="L44" s="126"/>
      <c r="M44" s="126"/>
      <c r="N44" s="126"/>
      <c r="O44" s="126"/>
      <c r="P44" s="126"/>
      <c r="Q44" s="126"/>
      <c r="R44" s="127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5">
      <c r="A45" s="3"/>
      <c r="B45" s="128" t="s">
        <v>149</v>
      </c>
      <c r="C45" s="123"/>
      <c r="D45" s="123"/>
      <c r="E45" s="123"/>
      <c r="F45" s="123"/>
      <c r="G45" s="124"/>
      <c r="H45" s="122" t="s">
        <v>150</v>
      </c>
      <c r="I45" s="123"/>
      <c r="J45" s="123"/>
      <c r="K45" s="123"/>
      <c r="L45" s="123"/>
      <c r="M45" s="123"/>
      <c r="N45" s="123"/>
      <c r="O45" s="123"/>
      <c r="P45" s="123"/>
      <c r="Q45" s="123"/>
      <c r="R45" s="124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5">
      <c r="A46" s="3"/>
      <c r="B46" s="125"/>
      <c r="C46" s="126"/>
      <c r="D46" s="126"/>
      <c r="E46" s="126"/>
      <c r="F46" s="126"/>
      <c r="G46" s="127"/>
      <c r="H46" s="125"/>
      <c r="I46" s="126"/>
      <c r="J46" s="126"/>
      <c r="K46" s="126"/>
      <c r="L46" s="126"/>
      <c r="M46" s="126"/>
      <c r="N46" s="126"/>
      <c r="O46" s="126"/>
      <c r="P46" s="126"/>
      <c r="Q46" s="126"/>
      <c r="R46" s="127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5">
      <c r="A47" s="3"/>
      <c r="B47" s="128" t="s">
        <v>151</v>
      </c>
      <c r="C47" s="123"/>
      <c r="D47" s="123"/>
      <c r="E47" s="123"/>
      <c r="F47" s="123"/>
      <c r="G47" s="124"/>
      <c r="H47" s="122" t="s">
        <v>152</v>
      </c>
      <c r="I47" s="123"/>
      <c r="J47" s="123"/>
      <c r="K47" s="123"/>
      <c r="L47" s="123"/>
      <c r="M47" s="123"/>
      <c r="N47" s="123"/>
      <c r="O47" s="123"/>
      <c r="P47" s="123"/>
      <c r="Q47" s="123"/>
      <c r="R47" s="124"/>
      <c r="S47" s="3"/>
      <c r="T47" s="3"/>
      <c r="U47" s="3"/>
      <c r="V47" s="3"/>
      <c r="W47" s="3"/>
      <c r="X47" s="3"/>
      <c r="Y47" s="3"/>
      <c r="Z47" s="3"/>
    </row>
    <row r="48" spans="1:26" ht="33" customHeight="1" x14ac:dyDescent="0.35">
      <c r="A48" s="3"/>
      <c r="B48" s="125"/>
      <c r="C48" s="126"/>
      <c r="D48" s="126"/>
      <c r="E48" s="126"/>
      <c r="F48" s="126"/>
      <c r="G48" s="127"/>
      <c r="H48" s="125"/>
      <c r="I48" s="126"/>
      <c r="J48" s="126"/>
      <c r="K48" s="126"/>
      <c r="L48" s="126"/>
      <c r="M48" s="126"/>
      <c r="N48" s="126"/>
      <c r="O48" s="126"/>
      <c r="P48" s="126"/>
      <c r="Q48" s="126"/>
      <c r="R48" s="127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5">
      <c r="A49" s="3"/>
      <c r="B49" s="130" t="s">
        <v>153</v>
      </c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2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5">
      <c r="A50" s="3"/>
      <c r="B50" s="133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5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5">
      <c r="A51" s="3"/>
      <c r="B51" s="136" t="s">
        <v>154</v>
      </c>
      <c r="C51" s="94"/>
      <c r="D51" s="94"/>
      <c r="E51" s="94"/>
      <c r="F51" s="94"/>
      <c r="G51" s="95"/>
      <c r="H51" s="136" t="s">
        <v>10</v>
      </c>
      <c r="I51" s="94"/>
      <c r="J51" s="94"/>
      <c r="K51" s="94"/>
      <c r="L51" s="94"/>
      <c r="M51" s="94"/>
      <c r="N51" s="94"/>
      <c r="O51" s="94"/>
      <c r="P51" s="94"/>
      <c r="Q51" s="94"/>
      <c r="R51" s="95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5">
      <c r="A52" s="3"/>
      <c r="B52" s="96"/>
      <c r="C52" s="97"/>
      <c r="D52" s="97"/>
      <c r="E52" s="97"/>
      <c r="F52" s="97"/>
      <c r="G52" s="98"/>
      <c r="H52" s="96"/>
      <c r="I52" s="97"/>
      <c r="J52" s="97"/>
      <c r="K52" s="97"/>
      <c r="L52" s="97"/>
      <c r="M52" s="97"/>
      <c r="N52" s="97"/>
      <c r="O52" s="97"/>
      <c r="P52" s="97"/>
      <c r="Q52" s="97"/>
      <c r="R52" s="98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5">
      <c r="A53" s="3"/>
      <c r="B53" s="129" t="s">
        <v>155</v>
      </c>
      <c r="C53" s="123"/>
      <c r="D53" s="123"/>
      <c r="E53" s="123"/>
      <c r="F53" s="123"/>
      <c r="G53" s="124"/>
      <c r="H53" s="122" t="s">
        <v>284</v>
      </c>
      <c r="I53" s="123"/>
      <c r="J53" s="123"/>
      <c r="K53" s="123"/>
      <c r="L53" s="123"/>
      <c r="M53" s="123"/>
      <c r="N53" s="123"/>
      <c r="O53" s="123"/>
      <c r="P53" s="123"/>
      <c r="Q53" s="123"/>
      <c r="R53" s="124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5">
      <c r="A54" s="3"/>
      <c r="B54" s="125"/>
      <c r="C54" s="126"/>
      <c r="D54" s="126"/>
      <c r="E54" s="126"/>
      <c r="F54" s="126"/>
      <c r="G54" s="127"/>
      <c r="H54" s="125"/>
      <c r="I54" s="126"/>
      <c r="J54" s="126"/>
      <c r="K54" s="126"/>
      <c r="L54" s="126"/>
      <c r="M54" s="126"/>
      <c r="N54" s="126"/>
      <c r="O54" s="126"/>
      <c r="P54" s="126"/>
      <c r="Q54" s="126"/>
      <c r="R54" s="127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5">
      <c r="A55" s="3"/>
      <c r="B55" s="129" t="s">
        <v>156</v>
      </c>
      <c r="C55" s="123"/>
      <c r="D55" s="123"/>
      <c r="E55" s="123"/>
      <c r="F55" s="123"/>
      <c r="G55" s="124"/>
      <c r="H55" s="122" t="s">
        <v>157</v>
      </c>
      <c r="I55" s="123"/>
      <c r="J55" s="123"/>
      <c r="K55" s="123"/>
      <c r="L55" s="123"/>
      <c r="M55" s="123"/>
      <c r="N55" s="123"/>
      <c r="O55" s="123"/>
      <c r="P55" s="123"/>
      <c r="Q55" s="123"/>
      <c r="R55" s="124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5">
      <c r="A56" s="3"/>
      <c r="B56" s="125"/>
      <c r="C56" s="126"/>
      <c r="D56" s="126"/>
      <c r="E56" s="126"/>
      <c r="F56" s="126"/>
      <c r="G56" s="127"/>
      <c r="H56" s="125"/>
      <c r="I56" s="126"/>
      <c r="J56" s="126"/>
      <c r="K56" s="126"/>
      <c r="L56" s="126"/>
      <c r="M56" s="126"/>
      <c r="N56" s="126"/>
      <c r="O56" s="126"/>
      <c r="P56" s="126"/>
      <c r="Q56" s="126"/>
      <c r="R56" s="127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5">
      <c r="A57" s="3"/>
      <c r="B57" s="129" t="s">
        <v>158</v>
      </c>
      <c r="C57" s="123"/>
      <c r="D57" s="123"/>
      <c r="E57" s="123"/>
      <c r="F57" s="123"/>
      <c r="G57" s="124"/>
      <c r="H57" s="122" t="s">
        <v>159</v>
      </c>
      <c r="I57" s="123"/>
      <c r="J57" s="123"/>
      <c r="K57" s="123"/>
      <c r="L57" s="123"/>
      <c r="M57" s="123"/>
      <c r="N57" s="123"/>
      <c r="O57" s="123"/>
      <c r="P57" s="123"/>
      <c r="Q57" s="123"/>
      <c r="R57" s="124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5">
      <c r="A58" s="3"/>
      <c r="B58" s="125"/>
      <c r="C58" s="126"/>
      <c r="D58" s="126"/>
      <c r="E58" s="126"/>
      <c r="F58" s="126"/>
      <c r="G58" s="127"/>
      <c r="H58" s="125"/>
      <c r="I58" s="126"/>
      <c r="J58" s="126"/>
      <c r="K58" s="126"/>
      <c r="L58" s="126"/>
      <c r="M58" s="126"/>
      <c r="N58" s="126"/>
      <c r="O58" s="126"/>
      <c r="P58" s="126"/>
      <c r="Q58" s="126"/>
      <c r="R58" s="127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5">
      <c r="A59" s="3"/>
      <c r="B59" s="129" t="s">
        <v>160</v>
      </c>
      <c r="C59" s="123"/>
      <c r="D59" s="123"/>
      <c r="E59" s="123"/>
      <c r="F59" s="123"/>
      <c r="G59" s="124"/>
      <c r="H59" s="122" t="s">
        <v>161</v>
      </c>
      <c r="I59" s="123"/>
      <c r="J59" s="123"/>
      <c r="K59" s="123"/>
      <c r="L59" s="123"/>
      <c r="M59" s="123"/>
      <c r="N59" s="123"/>
      <c r="O59" s="123"/>
      <c r="P59" s="123"/>
      <c r="Q59" s="123"/>
      <c r="R59" s="124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5">
      <c r="A60" s="3"/>
      <c r="B60" s="125"/>
      <c r="C60" s="126"/>
      <c r="D60" s="126"/>
      <c r="E60" s="126"/>
      <c r="F60" s="126"/>
      <c r="G60" s="127"/>
      <c r="H60" s="125"/>
      <c r="I60" s="126"/>
      <c r="J60" s="126"/>
      <c r="K60" s="126"/>
      <c r="L60" s="126"/>
      <c r="M60" s="126"/>
      <c r="N60" s="126"/>
      <c r="O60" s="126"/>
      <c r="P60" s="126"/>
      <c r="Q60" s="126"/>
      <c r="R60" s="127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5">
      <c r="A61" s="3"/>
      <c r="B61" s="129" t="s">
        <v>162</v>
      </c>
      <c r="C61" s="123"/>
      <c r="D61" s="123"/>
      <c r="E61" s="123"/>
      <c r="F61" s="123"/>
      <c r="G61" s="124"/>
      <c r="H61" s="122" t="s">
        <v>163</v>
      </c>
      <c r="I61" s="123"/>
      <c r="J61" s="123"/>
      <c r="K61" s="123"/>
      <c r="L61" s="123"/>
      <c r="M61" s="123"/>
      <c r="N61" s="123"/>
      <c r="O61" s="123"/>
      <c r="P61" s="123"/>
      <c r="Q61" s="123"/>
      <c r="R61" s="124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5">
      <c r="A62" s="3"/>
      <c r="B62" s="125"/>
      <c r="C62" s="126"/>
      <c r="D62" s="126"/>
      <c r="E62" s="126"/>
      <c r="F62" s="126"/>
      <c r="G62" s="127"/>
      <c r="H62" s="125"/>
      <c r="I62" s="126"/>
      <c r="J62" s="126"/>
      <c r="K62" s="126"/>
      <c r="L62" s="126"/>
      <c r="M62" s="126"/>
      <c r="N62" s="126"/>
      <c r="O62" s="126"/>
      <c r="P62" s="126"/>
      <c r="Q62" s="126"/>
      <c r="R62" s="127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5">
      <c r="A63" s="3"/>
      <c r="B63" s="129" t="s">
        <v>164</v>
      </c>
      <c r="C63" s="123"/>
      <c r="D63" s="123"/>
      <c r="E63" s="123"/>
      <c r="F63" s="123"/>
      <c r="G63" s="124"/>
      <c r="H63" s="122" t="s">
        <v>165</v>
      </c>
      <c r="I63" s="123"/>
      <c r="J63" s="123"/>
      <c r="K63" s="123"/>
      <c r="L63" s="123"/>
      <c r="M63" s="123"/>
      <c r="N63" s="123"/>
      <c r="O63" s="123"/>
      <c r="P63" s="123"/>
      <c r="Q63" s="123"/>
      <c r="R63" s="124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5">
      <c r="A64" s="3"/>
      <c r="B64" s="125"/>
      <c r="C64" s="126"/>
      <c r="D64" s="126"/>
      <c r="E64" s="126"/>
      <c r="F64" s="126"/>
      <c r="G64" s="127"/>
      <c r="H64" s="125"/>
      <c r="I64" s="126"/>
      <c r="J64" s="126"/>
      <c r="K64" s="126"/>
      <c r="L64" s="126"/>
      <c r="M64" s="126"/>
      <c r="N64" s="126"/>
      <c r="O64" s="126"/>
      <c r="P64" s="126"/>
      <c r="Q64" s="126"/>
      <c r="R64" s="127"/>
      <c r="S64" s="3"/>
      <c r="T64" s="3"/>
      <c r="U64" s="3"/>
      <c r="V64" s="3"/>
      <c r="W64" s="3"/>
      <c r="X64" s="3"/>
      <c r="Y64" s="3"/>
      <c r="Z64" s="3"/>
    </row>
    <row r="65" spans="1:26" ht="15" customHeight="1" x14ac:dyDescent="0.35">
      <c r="A65" s="3"/>
      <c r="B65" s="138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6"/>
      <c r="S65" s="3"/>
      <c r="T65" s="3"/>
      <c r="U65" s="3"/>
      <c r="V65" s="3"/>
      <c r="W65" s="3"/>
      <c r="X65" s="3"/>
      <c r="Y65" s="3"/>
      <c r="Z65" s="3"/>
    </row>
    <row r="66" spans="1:26" ht="22.5" customHeight="1" x14ac:dyDescent="0.35">
      <c r="A66" s="3"/>
      <c r="B66" s="137" t="s">
        <v>166</v>
      </c>
      <c r="C66" s="131"/>
      <c r="D66" s="131"/>
      <c r="E66" s="131"/>
      <c r="F66" s="131"/>
      <c r="G66" s="132"/>
      <c r="H66" s="103" t="s">
        <v>167</v>
      </c>
      <c r="I66" s="90"/>
      <c r="J66" s="90"/>
      <c r="K66" s="90"/>
      <c r="L66" s="90"/>
      <c r="M66" s="90"/>
      <c r="N66" s="90"/>
      <c r="O66" s="90"/>
      <c r="P66" s="90"/>
      <c r="Q66" s="90"/>
      <c r="R66" s="88"/>
      <c r="S66" s="3"/>
      <c r="T66" s="3"/>
      <c r="U66" s="3"/>
      <c r="V66" s="3"/>
      <c r="W66" s="3"/>
      <c r="X66" s="3"/>
      <c r="Y66" s="3"/>
      <c r="Z66" s="3"/>
    </row>
    <row r="67" spans="1:26" ht="24.75" customHeight="1" x14ac:dyDescent="0.35">
      <c r="A67" s="3"/>
      <c r="B67" s="133"/>
      <c r="C67" s="134"/>
      <c r="D67" s="134"/>
      <c r="E67" s="134"/>
      <c r="F67" s="134"/>
      <c r="G67" s="135"/>
      <c r="H67" s="103" t="s">
        <v>168</v>
      </c>
      <c r="I67" s="90"/>
      <c r="J67" s="90"/>
      <c r="K67" s="90"/>
      <c r="L67" s="90"/>
      <c r="M67" s="90"/>
      <c r="N67" s="90"/>
      <c r="O67" s="90"/>
      <c r="P67" s="90"/>
      <c r="Q67" s="90"/>
      <c r="R67" s="88"/>
      <c r="S67" s="3"/>
      <c r="T67" s="3"/>
      <c r="U67" s="3"/>
      <c r="V67" s="3"/>
      <c r="W67" s="3"/>
      <c r="X67" s="3"/>
      <c r="Y67" s="3"/>
      <c r="Z67" s="3"/>
    </row>
    <row r="68" spans="1:26" ht="23.25" customHeight="1" x14ac:dyDescent="0.35">
      <c r="A68" s="3"/>
      <c r="B68" s="137" t="s">
        <v>169</v>
      </c>
      <c r="C68" s="131"/>
      <c r="D68" s="131"/>
      <c r="E68" s="131"/>
      <c r="F68" s="131"/>
      <c r="G68" s="132"/>
      <c r="H68" s="103" t="s">
        <v>170</v>
      </c>
      <c r="I68" s="90"/>
      <c r="J68" s="90"/>
      <c r="K68" s="90"/>
      <c r="L68" s="90"/>
      <c r="M68" s="90"/>
      <c r="N68" s="90"/>
      <c r="O68" s="90"/>
      <c r="P68" s="90"/>
      <c r="Q68" s="90"/>
      <c r="R68" s="88"/>
      <c r="S68" s="3"/>
      <c r="T68" s="3"/>
      <c r="U68" s="3"/>
      <c r="V68" s="3"/>
      <c r="W68" s="3"/>
      <c r="X68" s="3"/>
      <c r="Y68" s="3"/>
      <c r="Z68" s="3"/>
    </row>
    <row r="69" spans="1:26" ht="25.5" customHeight="1" x14ac:dyDescent="0.35">
      <c r="A69" s="3"/>
      <c r="B69" s="133"/>
      <c r="C69" s="134"/>
      <c r="D69" s="134"/>
      <c r="E69" s="134"/>
      <c r="F69" s="134"/>
      <c r="G69" s="135"/>
      <c r="H69" s="103" t="s">
        <v>171</v>
      </c>
      <c r="I69" s="90"/>
      <c r="J69" s="90"/>
      <c r="K69" s="90"/>
      <c r="L69" s="90"/>
      <c r="M69" s="90"/>
      <c r="N69" s="90"/>
      <c r="O69" s="90"/>
      <c r="P69" s="90"/>
      <c r="Q69" s="90"/>
      <c r="R69" s="88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5">
      <c r="A70" s="3"/>
      <c r="B70" s="137" t="s">
        <v>162</v>
      </c>
      <c r="C70" s="131"/>
      <c r="D70" s="131"/>
      <c r="E70" s="131"/>
      <c r="F70" s="131"/>
      <c r="G70" s="132"/>
      <c r="H70" s="122" t="s">
        <v>172</v>
      </c>
      <c r="I70" s="123"/>
      <c r="J70" s="123"/>
      <c r="K70" s="123"/>
      <c r="L70" s="123"/>
      <c r="M70" s="123"/>
      <c r="N70" s="123"/>
      <c r="O70" s="123"/>
      <c r="P70" s="123"/>
      <c r="Q70" s="123"/>
      <c r="R70" s="124"/>
      <c r="S70" s="3"/>
      <c r="T70" s="3"/>
      <c r="U70" s="3"/>
      <c r="V70" s="3"/>
      <c r="W70" s="3"/>
      <c r="X70" s="3"/>
      <c r="Y70" s="3"/>
      <c r="Z70" s="3"/>
    </row>
    <row r="71" spans="1:26" ht="23.25" customHeight="1" x14ac:dyDescent="0.35">
      <c r="A71" s="3"/>
      <c r="B71" s="133"/>
      <c r="C71" s="134"/>
      <c r="D71" s="134"/>
      <c r="E71" s="134"/>
      <c r="F71" s="134"/>
      <c r="G71" s="135"/>
      <c r="H71" s="125"/>
      <c r="I71" s="126"/>
      <c r="J71" s="126"/>
      <c r="K71" s="126"/>
      <c r="L71" s="126"/>
      <c r="M71" s="126"/>
      <c r="N71" s="126"/>
      <c r="O71" s="126"/>
      <c r="P71" s="126"/>
      <c r="Q71" s="126"/>
      <c r="R71" s="127"/>
      <c r="S71" s="3"/>
      <c r="T71" s="3"/>
      <c r="U71" s="3"/>
      <c r="V71" s="3"/>
      <c r="W71" s="3"/>
      <c r="X71" s="3"/>
      <c r="Y71" s="3"/>
      <c r="Z71" s="3"/>
    </row>
    <row r="72" spans="1:26" ht="22.5" customHeight="1" x14ac:dyDescent="0.35">
      <c r="A72" s="3"/>
      <c r="B72" s="137" t="s">
        <v>173</v>
      </c>
      <c r="C72" s="131"/>
      <c r="D72" s="131"/>
      <c r="E72" s="131"/>
      <c r="F72" s="131"/>
      <c r="G72" s="132"/>
      <c r="H72" s="103" t="s">
        <v>174</v>
      </c>
      <c r="I72" s="90"/>
      <c r="J72" s="90"/>
      <c r="K72" s="90"/>
      <c r="L72" s="90"/>
      <c r="M72" s="90"/>
      <c r="N72" s="90"/>
      <c r="O72" s="90"/>
      <c r="P72" s="90"/>
      <c r="Q72" s="90"/>
      <c r="R72" s="88"/>
      <c r="S72" s="3"/>
      <c r="T72" s="3"/>
      <c r="U72" s="3"/>
      <c r="V72" s="3"/>
      <c r="W72" s="3"/>
      <c r="X72" s="3"/>
      <c r="Y72" s="3"/>
      <c r="Z72" s="3"/>
    </row>
    <row r="73" spans="1:26" ht="24.75" customHeight="1" x14ac:dyDescent="0.35">
      <c r="A73" s="3"/>
      <c r="B73" s="133"/>
      <c r="C73" s="134"/>
      <c r="D73" s="134"/>
      <c r="E73" s="134"/>
      <c r="F73" s="134"/>
      <c r="G73" s="135"/>
      <c r="H73" s="103" t="s">
        <v>175</v>
      </c>
      <c r="I73" s="90"/>
      <c r="J73" s="90"/>
      <c r="K73" s="90"/>
      <c r="L73" s="90"/>
      <c r="M73" s="90"/>
      <c r="N73" s="90"/>
      <c r="O73" s="90"/>
      <c r="P73" s="90"/>
      <c r="Q73" s="90"/>
      <c r="R73" s="88"/>
      <c r="S73" s="3"/>
      <c r="T73" s="3"/>
      <c r="U73" s="3"/>
      <c r="V73" s="3"/>
      <c r="W73" s="3"/>
      <c r="X73" s="3"/>
      <c r="Y73" s="3"/>
      <c r="Z73" s="3"/>
    </row>
    <row r="74" spans="1:26" ht="22.5" customHeight="1" x14ac:dyDescent="0.35">
      <c r="A74" s="3"/>
      <c r="B74" s="137" t="s">
        <v>176</v>
      </c>
      <c r="C74" s="131"/>
      <c r="D74" s="131"/>
      <c r="E74" s="131"/>
      <c r="F74" s="131"/>
      <c r="G74" s="132"/>
      <c r="H74" s="103" t="s">
        <v>177</v>
      </c>
      <c r="I74" s="90"/>
      <c r="J74" s="90"/>
      <c r="K74" s="90"/>
      <c r="L74" s="90"/>
      <c r="M74" s="90"/>
      <c r="N74" s="90"/>
      <c r="O74" s="90"/>
      <c r="P74" s="90"/>
      <c r="Q74" s="90"/>
      <c r="R74" s="88"/>
      <c r="S74" s="3"/>
      <c r="T74" s="3"/>
      <c r="U74" s="3"/>
      <c r="V74" s="3"/>
      <c r="W74" s="3"/>
      <c r="X74" s="3"/>
      <c r="Y74" s="3"/>
      <c r="Z74" s="3"/>
    </row>
    <row r="75" spans="1:26" ht="24.75" customHeight="1" x14ac:dyDescent="0.35">
      <c r="A75" s="3"/>
      <c r="B75" s="133"/>
      <c r="C75" s="134"/>
      <c r="D75" s="134"/>
      <c r="E75" s="134"/>
      <c r="F75" s="134"/>
      <c r="G75" s="135"/>
      <c r="H75" s="103" t="s">
        <v>178</v>
      </c>
      <c r="I75" s="90"/>
      <c r="J75" s="90"/>
      <c r="K75" s="90"/>
      <c r="L75" s="90"/>
      <c r="M75" s="90"/>
      <c r="N75" s="90"/>
      <c r="O75" s="90"/>
      <c r="P75" s="90"/>
      <c r="Q75" s="90"/>
      <c r="R75" s="88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5">
      <c r="A76" s="3"/>
      <c r="B76" s="137" t="s">
        <v>179</v>
      </c>
      <c r="C76" s="131"/>
      <c r="D76" s="131"/>
      <c r="E76" s="131"/>
      <c r="F76" s="131"/>
      <c r="G76" s="132"/>
      <c r="H76" s="122" t="s">
        <v>180</v>
      </c>
      <c r="I76" s="123"/>
      <c r="J76" s="123"/>
      <c r="K76" s="123"/>
      <c r="L76" s="123"/>
      <c r="M76" s="123"/>
      <c r="N76" s="123"/>
      <c r="O76" s="123"/>
      <c r="P76" s="123"/>
      <c r="Q76" s="123"/>
      <c r="R76" s="124"/>
      <c r="S76" s="3"/>
      <c r="T76" s="3"/>
      <c r="U76" s="3"/>
      <c r="V76" s="3"/>
      <c r="W76" s="3"/>
      <c r="X76" s="3"/>
      <c r="Y76" s="3"/>
      <c r="Z76" s="3"/>
    </row>
    <row r="77" spans="1:26" ht="23.25" customHeight="1" x14ac:dyDescent="0.35">
      <c r="A77" s="3"/>
      <c r="B77" s="133"/>
      <c r="C77" s="134"/>
      <c r="D77" s="134"/>
      <c r="E77" s="134"/>
      <c r="F77" s="134"/>
      <c r="G77" s="135"/>
      <c r="H77" s="125"/>
      <c r="I77" s="126"/>
      <c r="J77" s="126"/>
      <c r="K77" s="126"/>
      <c r="L77" s="126"/>
      <c r="M77" s="126"/>
      <c r="N77" s="126"/>
      <c r="O77" s="126"/>
      <c r="P77" s="126"/>
      <c r="Q77" s="126"/>
      <c r="R77" s="127"/>
      <c r="S77" s="3"/>
      <c r="T77" s="3"/>
      <c r="U77" s="3"/>
      <c r="V77" s="3"/>
      <c r="W77" s="3"/>
      <c r="X77" s="3"/>
      <c r="Y77" s="3"/>
      <c r="Z77" s="3"/>
    </row>
    <row r="78" spans="1:26" ht="22.5" customHeight="1" x14ac:dyDescent="0.35">
      <c r="A78" s="3"/>
      <c r="B78" s="137" t="s">
        <v>181</v>
      </c>
      <c r="C78" s="131"/>
      <c r="D78" s="131"/>
      <c r="E78" s="131"/>
      <c r="F78" s="131"/>
      <c r="G78" s="132"/>
      <c r="H78" s="103" t="s">
        <v>182</v>
      </c>
      <c r="I78" s="90"/>
      <c r="J78" s="90"/>
      <c r="K78" s="90"/>
      <c r="L78" s="90"/>
      <c r="M78" s="90"/>
      <c r="N78" s="90"/>
      <c r="O78" s="90"/>
      <c r="P78" s="90"/>
      <c r="Q78" s="90"/>
      <c r="R78" s="88"/>
      <c r="S78" s="3"/>
      <c r="T78" s="3"/>
      <c r="U78" s="3"/>
      <c r="V78" s="3"/>
      <c r="W78" s="3"/>
      <c r="X78" s="3"/>
      <c r="Y78" s="3"/>
      <c r="Z78" s="3"/>
    </row>
    <row r="79" spans="1:26" ht="24.75" customHeight="1" x14ac:dyDescent="0.35">
      <c r="A79" s="3"/>
      <c r="B79" s="133"/>
      <c r="C79" s="134"/>
      <c r="D79" s="134"/>
      <c r="E79" s="134"/>
      <c r="F79" s="134"/>
      <c r="G79" s="135"/>
      <c r="H79" s="103" t="s">
        <v>183</v>
      </c>
      <c r="I79" s="90"/>
      <c r="J79" s="90"/>
      <c r="K79" s="90"/>
      <c r="L79" s="90"/>
      <c r="M79" s="90"/>
      <c r="N79" s="90"/>
      <c r="O79" s="90"/>
      <c r="P79" s="90"/>
      <c r="Q79" s="90"/>
      <c r="R79" s="88"/>
      <c r="S79" s="3"/>
      <c r="T79" s="3"/>
      <c r="U79" s="3"/>
      <c r="V79" s="3"/>
      <c r="W79" s="3"/>
      <c r="X79" s="3"/>
      <c r="Y79" s="3"/>
      <c r="Z79" s="3"/>
    </row>
    <row r="80" spans="1:26" ht="22.5" customHeight="1" x14ac:dyDescent="0.35">
      <c r="A80" s="3"/>
      <c r="B80" s="137" t="s">
        <v>184</v>
      </c>
      <c r="C80" s="131"/>
      <c r="D80" s="131"/>
      <c r="E80" s="131"/>
      <c r="F80" s="131"/>
      <c r="G80" s="132"/>
      <c r="H80" s="103" t="s">
        <v>185</v>
      </c>
      <c r="I80" s="90"/>
      <c r="J80" s="90"/>
      <c r="K80" s="90"/>
      <c r="L80" s="90"/>
      <c r="M80" s="90"/>
      <c r="N80" s="90"/>
      <c r="O80" s="90"/>
      <c r="P80" s="90"/>
      <c r="Q80" s="90"/>
      <c r="R80" s="88"/>
      <c r="S80" s="3"/>
      <c r="T80" s="3"/>
      <c r="U80" s="3"/>
      <c r="V80" s="3"/>
      <c r="W80" s="3"/>
      <c r="X80" s="3"/>
      <c r="Y80" s="3"/>
      <c r="Z80" s="3"/>
    </row>
    <row r="81" spans="1:26" ht="39" customHeight="1" x14ac:dyDescent="0.35">
      <c r="A81" s="3"/>
      <c r="B81" s="133"/>
      <c r="C81" s="134"/>
      <c r="D81" s="134"/>
      <c r="E81" s="134"/>
      <c r="F81" s="134"/>
      <c r="G81" s="135"/>
      <c r="H81" s="102" t="s">
        <v>186</v>
      </c>
      <c r="I81" s="90"/>
      <c r="J81" s="90"/>
      <c r="K81" s="90"/>
      <c r="L81" s="90"/>
      <c r="M81" s="90"/>
      <c r="N81" s="90"/>
      <c r="O81" s="90"/>
      <c r="P81" s="90"/>
      <c r="Q81" s="90"/>
      <c r="R81" s="88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5">
      <c r="A82" s="3"/>
      <c r="B82" s="137" t="s">
        <v>187</v>
      </c>
      <c r="C82" s="131"/>
      <c r="D82" s="131"/>
      <c r="E82" s="131"/>
      <c r="F82" s="131"/>
      <c r="G82" s="132"/>
      <c r="H82" s="122" t="s">
        <v>188</v>
      </c>
      <c r="I82" s="123"/>
      <c r="J82" s="123"/>
      <c r="K82" s="123"/>
      <c r="L82" s="123"/>
      <c r="M82" s="123"/>
      <c r="N82" s="123"/>
      <c r="O82" s="123"/>
      <c r="P82" s="123"/>
      <c r="Q82" s="123"/>
      <c r="R82" s="124"/>
      <c r="S82" s="3"/>
      <c r="T82" s="3"/>
      <c r="U82" s="3"/>
      <c r="V82" s="3"/>
      <c r="W82" s="3"/>
      <c r="X82" s="3"/>
      <c r="Y82" s="3"/>
      <c r="Z82" s="3"/>
    </row>
    <row r="83" spans="1:26" ht="23.25" customHeight="1" x14ac:dyDescent="0.35">
      <c r="A83" s="3"/>
      <c r="B83" s="133"/>
      <c r="C83" s="134"/>
      <c r="D83" s="134"/>
      <c r="E83" s="134"/>
      <c r="F83" s="134"/>
      <c r="G83" s="135"/>
      <c r="H83" s="125"/>
      <c r="I83" s="126"/>
      <c r="J83" s="126"/>
      <c r="K83" s="126"/>
      <c r="L83" s="126"/>
      <c r="M83" s="126"/>
      <c r="N83" s="126"/>
      <c r="O83" s="126"/>
      <c r="P83" s="126"/>
      <c r="Q83" s="126"/>
      <c r="R83" s="127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8">
    <mergeCell ref="B29:R30"/>
    <mergeCell ref="H31:R32"/>
    <mergeCell ref="H33:R34"/>
    <mergeCell ref="B82:G83"/>
    <mergeCell ref="H82:R83"/>
    <mergeCell ref="B31:G32"/>
    <mergeCell ref="B33:G34"/>
    <mergeCell ref="B35:G36"/>
    <mergeCell ref="H35:R36"/>
    <mergeCell ref="B78:G79"/>
    <mergeCell ref="B80:G81"/>
    <mergeCell ref="B74:G75"/>
    <mergeCell ref="H74:R74"/>
    <mergeCell ref="H75:R75"/>
    <mergeCell ref="B76:G77"/>
    <mergeCell ref="H76:R77"/>
    <mergeCell ref="H24:R24"/>
    <mergeCell ref="H25:R25"/>
    <mergeCell ref="H26:R26"/>
    <mergeCell ref="B16:G19"/>
    <mergeCell ref="B20:G22"/>
    <mergeCell ref="B23:G25"/>
    <mergeCell ref="B26:G28"/>
    <mergeCell ref="H19:R19"/>
    <mergeCell ref="H20:R20"/>
    <mergeCell ref="H21:R21"/>
    <mergeCell ref="H22:R22"/>
    <mergeCell ref="H23:R23"/>
    <mergeCell ref="H27:R27"/>
    <mergeCell ref="H28:R28"/>
    <mergeCell ref="B6:D8"/>
    <mergeCell ref="E6:R8"/>
    <mergeCell ref="H17:R17"/>
    <mergeCell ref="H18:R18"/>
    <mergeCell ref="B9:D11"/>
    <mergeCell ref="E9:R11"/>
    <mergeCell ref="B12:R13"/>
    <mergeCell ref="B14:G15"/>
    <mergeCell ref="H14:R15"/>
    <mergeCell ref="H16:R16"/>
    <mergeCell ref="B2:R3"/>
    <mergeCell ref="B4:C4"/>
    <mergeCell ref="D4:R4"/>
    <mergeCell ref="B5:D5"/>
    <mergeCell ref="E5:R5"/>
    <mergeCell ref="H81:R81"/>
    <mergeCell ref="H66:R66"/>
    <mergeCell ref="H67:R67"/>
    <mergeCell ref="H72:R72"/>
    <mergeCell ref="H73:R73"/>
    <mergeCell ref="H78:R78"/>
    <mergeCell ref="H79:R79"/>
    <mergeCell ref="H80:R80"/>
    <mergeCell ref="B59:G60"/>
    <mergeCell ref="H59:R60"/>
    <mergeCell ref="B72:G73"/>
    <mergeCell ref="B61:G62"/>
    <mergeCell ref="H61:R62"/>
    <mergeCell ref="B63:G64"/>
    <mergeCell ref="H63:R64"/>
    <mergeCell ref="B65:R65"/>
    <mergeCell ref="B66:G67"/>
    <mergeCell ref="B68:G69"/>
    <mergeCell ref="H68:R68"/>
    <mergeCell ref="H69:R69"/>
    <mergeCell ref="B70:G71"/>
    <mergeCell ref="H70:R71"/>
    <mergeCell ref="B45:G46"/>
    <mergeCell ref="H45:R46"/>
    <mergeCell ref="B55:G56"/>
    <mergeCell ref="H55:R56"/>
    <mergeCell ref="B57:G58"/>
    <mergeCell ref="H57:R58"/>
    <mergeCell ref="H47:R48"/>
    <mergeCell ref="B49:R50"/>
    <mergeCell ref="H51:R52"/>
    <mergeCell ref="H53:R54"/>
    <mergeCell ref="B47:G48"/>
    <mergeCell ref="B51:G52"/>
    <mergeCell ref="B53:G54"/>
    <mergeCell ref="H37:R38"/>
    <mergeCell ref="H39:R40"/>
    <mergeCell ref="H41:R42"/>
    <mergeCell ref="H43:R44"/>
    <mergeCell ref="B37:G38"/>
    <mergeCell ref="B39:G40"/>
    <mergeCell ref="B41:G42"/>
    <mergeCell ref="B43:G4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000"/>
  <sheetViews>
    <sheetView zoomScale="60" zoomScaleNormal="60" zoomScaleSheetLayoutView="50" workbookViewId="0">
      <selection activeCell="D14" sqref="D14:P14"/>
    </sheetView>
  </sheetViews>
  <sheetFormatPr baseColWidth="10" defaultColWidth="12.6328125" defaultRowHeight="15" customHeight="1" x14ac:dyDescent="0.35"/>
  <cols>
    <col min="1" max="16" width="10.6328125" customWidth="1"/>
  </cols>
  <sheetData>
    <row r="1" spans="2:16" ht="14.25" customHeight="1" x14ac:dyDescent="0.35"/>
    <row r="2" spans="2:16" ht="14.25" customHeight="1" x14ac:dyDescent="0.35">
      <c r="B2" s="170" t="s">
        <v>189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2"/>
    </row>
    <row r="3" spans="2:16" ht="8.25" customHeight="1" x14ac:dyDescent="0.35"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5"/>
    </row>
    <row r="4" spans="2:16" ht="14.25" customHeight="1" x14ac:dyDescent="0.45">
      <c r="B4" s="140" t="s">
        <v>38</v>
      </c>
      <c r="C4" s="88"/>
      <c r="D4" s="141" t="s">
        <v>267</v>
      </c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88"/>
    </row>
    <row r="5" spans="2:16" ht="24.75" customHeight="1" x14ac:dyDescent="0.35">
      <c r="B5" s="142" t="s">
        <v>39</v>
      </c>
      <c r="C5" s="90"/>
      <c r="D5" s="88"/>
      <c r="E5" s="171" t="s">
        <v>40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88"/>
    </row>
    <row r="6" spans="2:16" ht="14.25" customHeight="1" x14ac:dyDescent="0.35">
      <c r="B6" s="172" t="s">
        <v>190</v>
      </c>
      <c r="C6" s="166"/>
      <c r="D6" s="172" t="s">
        <v>10</v>
      </c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6"/>
    </row>
    <row r="7" spans="2:16" ht="14.25" customHeight="1" x14ac:dyDescent="0.35">
      <c r="B7" s="167"/>
      <c r="C7" s="169"/>
      <c r="D7" s="176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8"/>
    </row>
    <row r="8" spans="2:16" ht="15" customHeight="1" x14ac:dyDescent="0.35">
      <c r="B8" s="173" t="s">
        <v>191</v>
      </c>
      <c r="C8" s="132"/>
      <c r="D8" s="179" t="s">
        <v>192</v>
      </c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147"/>
    </row>
    <row r="9" spans="2:16" ht="15" customHeight="1" x14ac:dyDescent="0.35">
      <c r="B9" s="174"/>
      <c r="C9" s="175"/>
      <c r="D9" s="179" t="s">
        <v>193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147"/>
    </row>
    <row r="10" spans="2:16" ht="15" customHeight="1" x14ac:dyDescent="0.35">
      <c r="B10" s="174"/>
      <c r="C10" s="175"/>
      <c r="D10" s="179" t="s">
        <v>194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147"/>
    </row>
    <row r="11" spans="2:16" ht="15" customHeight="1" x14ac:dyDescent="0.35">
      <c r="B11" s="174"/>
      <c r="C11" s="175"/>
      <c r="D11" s="179" t="s">
        <v>195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147"/>
    </row>
    <row r="12" spans="2:16" ht="15" customHeight="1" x14ac:dyDescent="0.35">
      <c r="B12" s="174"/>
      <c r="C12" s="175"/>
      <c r="D12" s="179" t="s">
        <v>196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147"/>
    </row>
    <row r="13" spans="2:16" ht="15" customHeight="1" x14ac:dyDescent="0.35">
      <c r="B13" s="174"/>
      <c r="C13" s="175"/>
      <c r="D13" s="179" t="s">
        <v>197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147"/>
    </row>
    <row r="14" spans="2:16" ht="15" customHeight="1" x14ac:dyDescent="0.35">
      <c r="B14" s="174"/>
      <c r="C14" s="175"/>
      <c r="D14" s="179" t="s">
        <v>198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147"/>
    </row>
    <row r="15" spans="2:16" ht="15" customHeight="1" x14ac:dyDescent="0.35">
      <c r="B15" s="174"/>
      <c r="C15" s="175"/>
      <c r="D15" s="179" t="s">
        <v>288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147"/>
    </row>
    <row r="16" spans="2:16" ht="15" customHeight="1" x14ac:dyDescent="0.35">
      <c r="B16" s="133"/>
      <c r="C16" s="135"/>
      <c r="D16" s="163" t="s">
        <v>199</v>
      </c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7"/>
    </row>
    <row r="17" spans="2:16" ht="14.25" customHeight="1" x14ac:dyDescent="0.35">
      <c r="B17" s="173" t="s">
        <v>200</v>
      </c>
      <c r="C17" s="132"/>
      <c r="D17" s="180" t="s">
        <v>201</v>
      </c>
      <c r="E17" s="165"/>
      <c r="F17" s="166"/>
      <c r="G17" s="182" t="s">
        <v>202</v>
      </c>
      <c r="H17" s="166"/>
      <c r="I17" s="183" t="s">
        <v>203</v>
      </c>
      <c r="J17" s="166"/>
      <c r="K17" s="182" t="s">
        <v>204</v>
      </c>
      <c r="L17" s="166"/>
      <c r="M17" s="164" t="s">
        <v>205</v>
      </c>
      <c r="N17" s="165"/>
      <c r="O17" s="165"/>
      <c r="P17" s="166"/>
    </row>
    <row r="18" spans="2:16" ht="46.5" customHeight="1" x14ac:dyDescent="0.35">
      <c r="B18" s="174"/>
      <c r="C18" s="175"/>
      <c r="D18" s="181"/>
      <c r="E18" s="168"/>
      <c r="F18" s="169"/>
      <c r="G18" s="167"/>
      <c r="H18" s="169"/>
      <c r="I18" s="167"/>
      <c r="J18" s="169"/>
      <c r="K18" s="167"/>
      <c r="L18" s="169"/>
      <c r="M18" s="167"/>
      <c r="N18" s="168"/>
      <c r="O18" s="168"/>
      <c r="P18" s="169"/>
    </row>
    <row r="19" spans="2:16" ht="42.75" customHeight="1" x14ac:dyDescent="0.35">
      <c r="B19" s="174"/>
      <c r="C19" s="175"/>
      <c r="D19" s="158" t="s">
        <v>192</v>
      </c>
      <c r="E19" s="90"/>
      <c r="F19" s="88"/>
      <c r="G19" s="153">
        <v>2</v>
      </c>
      <c r="H19" s="88"/>
      <c r="I19" s="153">
        <v>3</v>
      </c>
      <c r="J19" s="88"/>
      <c r="K19" s="153">
        <v>6</v>
      </c>
      <c r="L19" s="88"/>
      <c r="M19" s="153" t="s">
        <v>206</v>
      </c>
      <c r="N19" s="90"/>
      <c r="O19" s="90"/>
      <c r="P19" s="88"/>
    </row>
    <row r="20" spans="2:16" ht="39" customHeight="1" x14ac:dyDescent="0.35">
      <c r="B20" s="174"/>
      <c r="C20" s="175"/>
      <c r="D20" s="158" t="s">
        <v>193</v>
      </c>
      <c r="E20" s="90"/>
      <c r="F20" s="88"/>
      <c r="G20" s="153">
        <v>3</v>
      </c>
      <c r="H20" s="88"/>
      <c r="I20" s="153">
        <v>3</v>
      </c>
      <c r="J20" s="88"/>
      <c r="K20" s="153">
        <v>9</v>
      </c>
      <c r="L20" s="88"/>
      <c r="M20" s="153" t="s">
        <v>207</v>
      </c>
      <c r="N20" s="90"/>
      <c r="O20" s="90"/>
      <c r="P20" s="88"/>
    </row>
    <row r="21" spans="2:16" ht="46.5" customHeight="1" x14ac:dyDescent="0.35">
      <c r="B21" s="174"/>
      <c r="C21" s="175"/>
      <c r="D21" s="158" t="s">
        <v>208</v>
      </c>
      <c r="E21" s="90"/>
      <c r="F21" s="88"/>
      <c r="G21" s="153">
        <v>3</v>
      </c>
      <c r="H21" s="88"/>
      <c r="I21" s="153">
        <v>4</v>
      </c>
      <c r="J21" s="88"/>
      <c r="K21" s="153">
        <v>12</v>
      </c>
      <c r="L21" s="88"/>
      <c r="M21" s="153" t="s">
        <v>209</v>
      </c>
      <c r="N21" s="90"/>
      <c r="O21" s="90"/>
      <c r="P21" s="88"/>
    </row>
    <row r="22" spans="2:16" ht="41.25" customHeight="1" x14ac:dyDescent="0.35">
      <c r="B22" s="174"/>
      <c r="C22" s="175"/>
      <c r="D22" s="158" t="s">
        <v>210</v>
      </c>
      <c r="E22" s="90"/>
      <c r="F22" s="88"/>
      <c r="G22" s="153">
        <v>2</v>
      </c>
      <c r="H22" s="88"/>
      <c r="I22" s="153">
        <v>4</v>
      </c>
      <c r="J22" s="88"/>
      <c r="K22" s="153">
        <v>8</v>
      </c>
      <c r="L22" s="88"/>
      <c r="M22" s="153" t="s">
        <v>211</v>
      </c>
      <c r="N22" s="90"/>
      <c r="O22" s="90"/>
      <c r="P22" s="88"/>
    </row>
    <row r="23" spans="2:16" ht="35.25" customHeight="1" x14ac:dyDescent="0.35">
      <c r="B23" s="174"/>
      <c r="C23" s="175"/>
      <c r="D23" s="158" t="s">
        <v>212</v>
      </c>
      <c r="E23" s="90"/>
      <c r="F23" s="88"/>
      <c r="G23" s="153">
        <v>2</v>
      </c>
      <c r="H23" s="88"/>
      <c r="I23" s="153">
        <v>3</v>
      </c>
      <c r="J23" s="88"/>
      <c r="K23" s="153">
        <v>6</v>
      </c>
      <c r="L23" s="88"/>
      <c r="M23" s="153" t="s">
        <v>213</v>
      </c>
      <c r="N23" s="90"/>
      <c r="O23" s="90"/>
      <c r="P23" s="88"/>
    </row>
    <row r="24" spans="2:16" ht="47.25" customHeight="1" x14ac:dyDescent="0.35">
      <c r="B24" s="174"/>
      <c r="C24" s="175"/>
      <c r="D24" s="158" t="s">
        <v>197</v>
      </c>
      <c r="E24" s="90"/>
      <c r="F24" s="88"/>
      <c r="G24" s="153">
        <v>2</v>
      </c>
      <c r="H24" s="88"/>
      <c r="I24" s="153">
        <v>4</v>
      </c>
      <c r="J24" s="88"/>
      <c r="K24" s="153">
        <v>8</v>
      </c>
      <c r="L24" s="88"/>
      <c r="M24" s="153" t="s">
        <v>214</v>
      </c>
      <c r="N24" s="90"/>
      <c r="O24" s="90"/>
      <c r="P24" s="88"/>
    </row>
    <row r="25" spans="2:16" ht="39.75" customHeight="1" x14ac:dyDescent="0.35">
      <c r="B25" s="174"/>
      <c r="C25" s="175"/>
      <c r="D25" s="158" t="s">
        <v>215</v>
      </c>
      <c r="E25" s="90"/>
      <c r="F25" s="88"/>
      <c r="G25" s="153">
        <v>3</v>
      </c>
      <c r="H25" s="88"/>
      <c r="I25" s="153">
        <v>4</v>
      </c>
      <c r="J25" s="88"/>
      <c r="K25" s="153">
        <v>12</v>
      </c>
      <c r="L25" s="88"/>
      <c r="M25" s="153" t="s">
        <v>216</v>
      </c>
      <c r="N25" s="90"/>
      <c r="O25" s="90"/>
      <c r="P25" s="88"/>
    </row>
    <row r="26" spans="2:16" ht="32.25" customHeight="1" x14ac:dyDescent="0.35">
      <c r="B26" s="174"/>
      <c r="C26" s="175"/>
      <c r="D26" s="157" t="s">
        <v>266</v>
      </c>
      <c r="E26" s="90"/>
      <c r="F26" s="88"/>
      <c r="G26" s="153">
        <v>4</v>
      </c>
      <c r="H26" s="88"/>
      <c r="I26" s="153">
        <v>5</v>
      </c>
      <c r="J26" s="88"/>
      <c r="K26" s="153">
        <v>20</v>
      </c>
      <c r="L26" s="88"/>
      <c r="M26" s="153" t="s">
        <v>217</v>
      </c>
      <c r="N26" s="90"/>
      <c r="O26" s="90"/>
      <c r="P26" s="88"/>
    </row>
    <row r="27" spans="2:16" ht="43.5" customHeight="1" x14ac:dyDescent="0.35">
      <c r="B27" s="133"/>
      <c r="C27" s="135"/>
      <c r="D27" s="157" t="s">
        <v>218</v>
      </c>
      <c r="E27" s="90"/>
      <c r="F27" s="88"/>
      <c r="G27" s="153">
        <v>4</v>
      </c>
      <c r="H27" s="88"/>
      <c r="I27" s="153">
        <v>5</v>
      </c>
      <c r="J27" s="88"/>
      <c r="K27" s="153">
        <v>20</v>
      </c>
      <c r="L27" s="88"/>
      <c r="M27" s="153" t="s">
        <v>219</v>
      </c>
      <c r="N27" s="90"/>
      <c r="O27" s="90"/>
      <c r="P27" s="88"/>
    </row>
    <row r="28" spans="2:16" ht="84" customHeight="1" x14ac:dyDescent="0.35">
      <c r="B28" s="173" t="s">
        <v>220</v>
      </c>
      <c r="C28" s="132"/>
      <c r="D28" s="154" t="s">
        <v>221</v>
      </c>
      <c r="E28" s="155"/>
      <c r="F28" s="154" t="s">
        <v>222</v>
      </c>
      <c r="G28" s="155"/>
      <c r="H28" s="154" t="s">
        <v>203</v>
      </c>
      <c r="I28" s="155"/>
      <c r="J28" s="154" t="s">
        <v>223</v>
      </c>
      <c r="K28" s="155"/>
      <c r="L28" s="154" t="s">
        <v>224</v>
      </c>
      <c r="M28" s="155"/>
      <c r="N28" s="154" t="s">
        <v>225</v>
      </c>
      <c r="O28" s="156"/>
      <c r="P28" s="155"/>
    </row>
    <row r="29" spans="2:16" ht="57" customHeight="1" x14ac:dyDescent="0.35">
      <c r="B29" s="174"/>
      <c r="C29" s="175"/>
      <c r="D29" s="158" t="s">
        <v>192</v>
      </c>
      <c r="E29" s="88"/>
      <c r="F29" s="153">
        <v>2</v>
      </c>
      <c r="G29" s="88"/>
      <c r="H29" s="153">
        <v>3</v>
      </c>
      <c r="I29" s="88"/>
      <c r="J29" s="153">
        <v>6</v>
      </c>
      <c r="K29" s="88"/>
      <c r="L29" s="159" t="s">
        <v>226</v>
      </c>
      <c r="M29" s="160"/>
      <c r="N29" s="153" t="s">
        <v>206</v>
      </c>
      <c r="O29" s="90"/>
      <c r="P29" s="88"/>
    </row>
    <row r="30" spans="2:16" ht="58.5" customHeight="1" x14ac:dyDescent="0.35">
      <c r="B30" s="174"/>
      <c r="C30" s="175"/>
      <c r="D30" s="158" t="s">
        <v>193</v>
      </c>
      <c r="E30" s="88"/>
      <c r="F30" s="153">
        <v>3</v>
      </c>
      <c r="G30" s="88"/>
      <c r="H30" s="153">
        <v>3</v>
      </c>
      <c r="I30" s="88"/>
      <c r="J30" s="153">
        <v>9</v>
      </c>
      <c r="K30" s="88"/>
      <c r="L30" s="159" t="s">
        <v>227</v>
      </c>
      <c r="M30" s="160"/>
      <c r="N30" s="153" t="s">
        <v>207</v>
      </c>
      <c r="O30" s="90"/>
      <c r="P30" s="88"/>
    </row>
    <row r="31" spans="2:16" ht="57" customHeight="1" x14ac:dyDescent="0.35">
      <c r="B31" s="174"/>
      <c r="C31" s="175"/>
      <c r="D31" s="158" t="s">
        <v>208</v>
      </c>
      <c r="E31" s="88"/>
      <c r="F31" s="153">
        <v>3</v>
      </c>
      <c r="G31" s="88"/>
      <c r="H31" s="153">
        <v>4</v>
      </c>
      <c r="I31" s="88"/>
      <c r="J31" s="153">
        <v>12</v>
      </c>
      <c r="K31" s="88"/>
      <c r="L31" s="159" t="s">
        <v>227</v>
      </c>
      <c r="M31" s="160"/>
      <c r="N31" s="153" t="s">
        <v>209</v>
      </c>
      <c r="O31" s="90"/>
      <c r="P31" s="88"/>
    </row>
    <row r="32" spans="2:16" ht="44.25" customHeight="1" x14ac:dyDescent="0.35">
      <c r="B32" s="174"/>
      <c r="C32" s="175"/>
      <c r="D32" s="158" t="s">
        <v>210</v>
      </c>
      <c r="E32" s="88"/>
      <c r="F32" s="153">
        <v>2</v>
      </c>
      <c r="G32" s="88"/>
      <c r="H32" s="153">
        <v>4</v>
      </c>
      <c r="I32" s="88"/>
      <c r="J32" s="153">
        <v>8</v>
      </c>
      <c r="K32" s="88"/>
      <c r="L32" s="159" t="s">
        <v>226</v>
      </c>
      <c r="M32" s="160"/>
      <c r="N32" s="153" t="s">
        <v>211</v>
      </c>
      <c r="O32" s="90"/>
      <c r="P32" s="88"/>
    </row>
    <row r="33" spans="2:16" ht="44.25" customHeight="1" x14ac:dyDescent="0.35">
      <c r="B33" s="174"/>
      <c r="C33" s="175"/>
      <c r="D33" s="158" t="s">
        <v>212</v>
      </c>
      <c r="E33" s="88"/>
      <c r="F33" s="153">
        <v>2</v>
      </c>
      <c r="G33" s="88"/>
      <c r="H33" s="153">
        <v>3</v>
      </c>
      <c r="I33" s="88"/>
      <c r="J33" s="153">
        <v>6</v>
      </c>
      <c r="K33" s="88"/>
      <c r="L33" s="159" t="s">
        <v>226</v>
      </c>
      <c r="M33" s="160"/>
      <c r="N33" s="153" t="s">
        <v>213</v>
      </c>
      <c r="O33" s="90"/>
      <c r="P33" s="88"/>
    </row>
    <row r="34" spans="2:16" ht="57" customHeight="1" x14ac:dyDescent="0.35">
      <c r="B34" s="174"/>
      <c r="C34" s="175"/>
      <c r="D34" s="158" t="s">
        <v>197</v>
      </c>
      <c r="E34" s="88"/>
      <c r="F34" s="153">
        <v>2</v>
      </c>
      <c r="G34" s="88"/>
      <c r="H34" s="153">
        <v>4</v>
      </c>
      <c r="I34" s="88"/>
      <c r="J34" s="153">
        <v>8</v>
      </c>
      <c r="K34" s="88"/>
      <c r="L34" s="159" t="s">
        <v>226</v>
      </c>
      <c r="M34" s="160"/>
      <c r="N34" s="153" t="s">
        <v>214</v>
      </c>
      <c r="O34" s="90"/>
      <c r="P34" s="88"/>
    </row>
    <row r="35" spans="2:16" ht="63.75" customHeight="1" x14ac:dyDescent="0.35">
      <c r="B35" s="174"/>
      <c r="C35" s="175"/>
      <c r="D35" s="158" t="s">
        <v>215</v>
      </c>
      <c r="E35" s="88"/>
      <c r="F35" s="153">
        <v>3</v>
      </c>
      <c r="G35" s="88"/>
      <c r="H35" s="153">
        <v>4</v>
      </c>
      <c r="I35" s="88"/>
      <c r="J35" s="153">
        <v>12</v>
      </c>
      <c r="K35" s="88"/>
      <c r="L35" s="159" t="s">
        <v>227</v>
      </c>
      <c r="M35" s="160"/>
      <c r="N35" s="153" t="s">
        <v>216</v>
      </c>
      <c r="O35" s="90"/>
      <c r="P35" s="88"/>
    </row>
    <row r="36" spans="2:16" ht="44.25" customHeight="1" x14ac:dyDescent="0.35">
      <c r="B36" s="174"/>
      <c r="C36" s="175"/>
      <c r="D36" s="158" t="s">
        <v>266</v>
      </c>
      <c r="E36" s="88"/>
      <c r="F36" s="153">
        <v>4</v>
      </c>
      <c r="G36" s="88"/>
      <c r="H36" s="153">
        <v>5</v>
      </c>
      <c r="I36" s="88"/>
      <c r="J36" s="153">
        <v>20</v>
      </c>
      <c r="K36" s="88"/>
      <c r="L36" s="159" t="s">
        <v>228</v>
      </c>
      <c r="M36" s="160"/>
      <c r="N36" s="153" t="s">
        <v>217</v>
      </c>
      <c r="O36" s="90"/>
      <c r="P36" s="88"/>
    </row>
    <row r="37" spans="2:16" ht="48" customHeight="1" x14ac:dyDescent="0.35">
      <c r="B37" s="133"/>
      <c r="C37" s="135"/>
      <c r="D37" s="158" t="s">
        <v>218</v>
      </c>
      <c r="E37" s="88"/>
      <c r="F37" s="153">
        <v>4</v>
      </c>
      <c r="G37" s="88"/>
      <c r="H37" s="153">
        <v>5</v>
      </c>
      <c r="I37" s="88"/>
      <c r="J37" s="153">
        <v>20</v>
      </c>
      <c r="K37" s="88"/>
      <c r="L37" s="159" t="s">
        <v>228</v>
      </c>
      <c r="M37" s="160"/>
      <c r="N37" s="153" t="s">
        <v>219</v>
      </c>
      <c r="O37" s="90"/>
      <c r="P37" s="88"/>
    </row>
    <row r="38" spans="2:16" ht="33" customHeight="1" x14ac:dyDescent="0.35">
      <c r="B38" s="173" t="s">
        <v>229</v>
      </c>
      <c r="C38" s="132"/>
      <c r="D38" s="161" t="s">
        <v>221</v>
      </c>
      <c r="E38" s="184"/>
      <c r="F38" s="162"/>
      <c r="G38" s="161" t="s">
        <v>230</v>
      </c>
      <c r="H38" s="184"/>
      <c r="I38" s="184"/>
      <c r="J38" s="162"/>
      <c r="K38" s="161" t="s">
        <v>231</v>
      </c>
      <c r="L38" s="162"/>
      <c r="M38" s="161" t="s">
        <v>232</v>
      </c>
      <c r="N38" s="162"/>
      <c r="O38" s="161" t="s">
        <v>233</v>
      </c>
      <c r="P38" s="162"/>
    </row>
    <row r="39" spans="2:16" ht="60.75" customHeight="1" x14ac:dyDescent="0.35">
      <c r="B39" s="174"/>
      <c r="C39" s="175"/>
      <c r="D39" s="153" t="s">
        <v>192</v>
      </c>
      <c r="E39" s="90"/>
      <c r="F39" s="88"/>
      <c r="G39" s="102" t="s">
        <v>234</v>
      </c>
      <c r="H39" s="90"/>
      <c r="I39" s="90"/>
      <c r="J39" s="88"/>
      <c r="K39" s="102" t="s">
        <v>235</v>
      </c>
      <c r="L39" s="88"/>
      <c r="M39" s="102" t="s">
        <v>236</v>
      </c>
      <c r="N39" s="88"/>
      <c r="O39" s="103" t="s">
        <v>237</v>
      </c>
      <c r="P39" s="88"/>
    </row>
    <row r="40" spans="2:16" ht="63.75" customHeight="1" x14ac:dyDescent="0.35">
      <c r="B40" s="174"/>
      <c r="C40" s="175"/>
      <c r="D40" s="153" t="s">
        <v>193</v>
      </c>
      <c r="E40" s="90"/>
      <c r="F40" s="88"/>
      <c r="G40" s="153" t="s">
        <v>207</v>
      </c>
      <c r="H40" s="90"/>
      <c r="I40" s="90"/>
      <c r="J40" s="88"/>
      <c r="K40" s="102" t="s">
        <v>235</v>
      </c>
      <c r="L40" s="88"/>
      <c r="M40" s="102" t="s">
        <v>238</v>
      </c>
      <c r="N40" s="88"/>
      <c r="O40" s="103" t="s">
        <v>239</v>
      </c>
      <c r="P40" s="88"/>
    </row>
    <row r="41" spans="2:16" ht="67.5" customHeight="1" x14ac:dyDescent="0.35">
      <c r="B41" s="174"/>
      <c r="C41" s="175"/>
      <c r="D41" s="153" t="s">
        <v>208</v>
      </c>
      <c r="E41" s="90"/>
      <c r="F41" s="88"/>
      <c r="G41" s="102" t="s">
        <v>240</v>
      </c>
      <c r="H41" s="90"/>
      <c r="I41" s="90"/>
      <c r="J41" s="88"/>
      <c r="K41" s="102" t="s">
        <v>235</v>
      </c>
      <c r="L41" s="88"/>
      <c r="M41" s="102" t="s">
        <v>241</v>
      </c>
      <c r="N41" s="88"/>
      <c r="O41" s="103" t="s">
        <v>237</v>
      </c>
      <c r="P41" s="88"/>
    </row>
    <row r="42" spans="2:16" ht="69.75" customHeight="1" x14ac:dyDescent="0.35">
      <c r="B42" s="174"/>
      <c r="C42" s="175"/>
      <c r="D42" s="153" t="s">
        <v>210</v>
      </c>
      <c r="E42" s="90"/>
      <c r="F42" s="88"/>
      <c r="G42" s="102" t="s">
        <v>242</v>
      </c>
      <c r="H42" s="90"/>
      <c r="I42" s="90"/>
      <c r="J42" s="88"/>
      <c r="K42" s="102" t="s">
        <v>243</v>
      </c>
      <c r="L42" s="88"/>
      <c r="M42" s="102" t="s">
        <v>238</v>
      </c>
      <c r="N42" s="88"/>
      <c r="O42" s="103" t="s">
        <v>244</v>
      </c>
      <c r="P42" s="88"/>
    </row>
    <row r="43" spans="2:16" ht="81" customHeight="1" x14ac:dyDescent="0.35">
      <c r="B43" s="174"/>
      <c r="C43" s="175"/>
      <c r="D43" s="153" t="s">
        <v>212</v>
      </c>
      <c r="E43" s="90"/>
      <c r="F43" s="88"/>
      <c r="G43" s="102" t="s">
        <v>245</v>
      </c>
      <c r="H43" s="90"/>
      <c r="I43" s="90"/>
      <c r="J43" s="88"/>
      <c r="K43" s="102" t="s">
        <v>246</v>
      </c>
      <c r="L43" s="88"/>
      <c r="M43" s="102" t="s">
        <v>247</v>
      </c>
      <c r="N43" s="88"/>
      <c r="O43" s="103" t="s">
        <v>237</v>
      </c>
      <c r="P43" s="88"/>
    </row>
    <row r="44" spans="2:16" ht="75" customHeight="1" x14ac:dyDescent="0.35">
      <c r="B44" s="174"/>
      <c r="C44" s="175"/>
      <c r="D44" s="153" t="s">
        <v>197</v>
      </c>
      <c r="E44" s="90"/>
      <c r="F44" s="88"/>
      <c r="G44" s="102" t="s">
        <v>214</v>
      </c>
      <c r="H44" s="90"/>
      <c r="I44" s="90"/>
      <c r="J44" s="88"/>
      <c r="K44" s="102" t="s">
        <v>246</v>
      </c>
      <c r="L44" s="88"/>
      <c r="M44" s="102" t="s">
        <v>236</v>
      </c>
      <c r="N44" s="88"/>
      <c r="O44" s="103" t="s">
        <v>237</v>
      </c>
      <c r="P44" s="88"/>
    </row>
    <row r="45" spans="2:16" ht="75" customHeight="1" x14ac:dyDescent="0.35">
      <c r="B45" s="174"/>
      <c r="C45" s="175"/>
      <c r="D45" s="153" t="s">
        <v>215</v>
      </c>
      <c r="E45" s="90"/>
      <c r="F45" s="88"/>
      <c r="G45" s="102" t="s">
        <v>248</v>
      </c>
      <c r="H45" s="90"/>
      <c r="I45" s="90"/>
      <c r="J45" s="88"/>
      <c r="K45" s="102" t="s">
        <v>249</v>
      </c>
      <c r="L45" s="88"/>
      <c r="M45" s="102" t="s">
        <v>236</v>
      </c>
      <c r="N45" s="88"/>
      <c r="O45" s="103" t="s">
        <v>239</v>
      </c>
      <c r="P45" s="88"/>
    </row>
    <row r="46" spans="2:16" ht="69.75" customHeight="1" x14ac:dyDescent="0.35">
      <c r="B46" s="174"/>
      <c r="C46" s="175"/>
      <c r="D46" s="185" t="s">
        <v>266</v>
      </c>
      <c r="E46" s="90"/>
      <c r="F46" s="88"/>
      <c r="G46" s="102" t="s">
        <v>217</v>
      </c>
      <c r="H46" s="90"/>
      <c r="I46" s="90"/>
      <c r="J46" s="88"/>
      <c r="K46" s="102" t="s">
        <v>235</v>
      </c>
      <c r="L46" s="88"/>
      <c r="M46" s="102" t="s">
        <v>241</v>
      </c>
      <c r="N46" s="88"/>
      <c r="O46" s="103" t="s">
        <v>244</v>
      </c>
      <c r="P46" s="88"/>
    </row>
    <row r="47" spans="2:16" ht="87" customHeight="1" x14ac:dyDescent="0.35">
      <c r="B47" s="133"/>
      <c r="C47" s="135"/>
      <c r="D47" s="153" t="s">
        <v>218</v>
      </c>
      <c r="E47" s="90"/>
      <c r="F47" s="88"/>
      <c r="G47" s="102" t="s">
        <v>250</v>
      </c>
      <c r="H47" s="90"/>
      <c r="I47" s="90"/>
      <c r="J47" s="88"/>
      <c r="K47" s="102" t="s">
        <v>251</v>
      </c>
      <c r="L47" s="88"/>
      <c r="M47" s="102" t="s">
        <v>236</v>
      </c>
      <c r="N47" s="88"/>
      <c r="O47" s="103" t="s">
        <v>237</v>
      </c>
      <c r="P47" s="88"/>
    </row>
    <row r="48" spans="2:16" ht="14.25" customHeight="1" x14ac:dyDescent="0.35">
      <c r="D48" s="80"/>
      <c r="E48" s="72"/>
      <c r="F48" s="72"/>
    </row>
    <row r="49" spans="4:6" ht="14.25" customHeight="1" x14ac:dyDescent="0.35">
      <c r="D49" s="80"/>
      <c r="E49" s="72"/>
      <c r="F49" s="72"/>
    </row>
    <row r="50" spans="4:6" ht="14.25" customHeight="1" x14ac:dyDescent="0.35">
      <c r="D50" s="80"/>
      <c r="E50" s="72"/>
      <c r="F50" s="72"/>
    </row>
    <row r="51" spans="4:6" ht="14.25" customHeight="1" x14ac:dyDescent="0.35">
      <c r="D51" s="80"/>
      <c r="E51" s="72"/>
      <c r="F51" s="72"/>
    </row>
    <row r="52" spans="4:6" ht="14.25" customHeight="1" x14ac:dyDescent="0.35">
      <c r="D52" s="80"/>
      <c r="E52" s="72"/>
      <c r="F52" s="72"/>
    </row>
    <row r="53" spans="4:6" ht="14.25" customHeight="1" x14ac:dyDescent="0.35">
      <c r="D53" s="80"/>
      <c r="E53" s="72"/>
      <c r="F53" s="72"/>
    </row>
    <row r="54" spans="4:6" ht="14.25" customHeight="1" x14ac:dyDescent="0.35">
      <c r="D54" s="80"/>
      <c r="E54" s="72"/>
      <c r="F54" s="72"/>
    </row>
    <row r="55" spans="4:6" ht="13.5" customHeight="1" x14ac:dyDescent="0.35"/>
    <row r="56" spans="4:6" ht="14.25" customHeight="1" x14ac:dyDescent="0.35"/>
    <row r="57" spans="4:6" ht="14.25" customHeight="1" x14ac:dyDescent="0.35"/>
    <row r="58" spans="4:6" ht="14.25" customHeight="1" x14ac:dyDescent="0.35"/>
    <row r="59" spans="4:6" ht="14.25" customHeight="1" x14ac:dyDescent="0.35"/>
    <row r="60" spans="4:6" ht="14.25" customHeight="1" x14ac:dyDescent="0.35"/>
    <row r="61" spans="4:6" ht="14.25" customHeight="1" x14ac:dyDescent="0.35"/>
    <row r="62" spans="4:6" ht="14.25" customHeight="1" x14ac:dyDescent="0.35"/>
    <row r="63" spans="4:6" ht="14.25" customHeight="1" x14ac:dyDescent="0.35"/>
    <row r="64" spans="4:6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87">
    <mergeCell ref="G43:J43"/>
    <mergeCell ref="G44:J44"/>
    <mergeCell ref="K44:L44"/>
    <mergeCell ref="G45:J45"/>
    <mergeCell ref="K45:L45"/>
    <mergeCell ref="G46:J46"/>
    <mergeCell ref="K46:L46"/>
    <mergeCell ref="D43:F43"/>
    <mergeCell ref="D44:F44"/>
    <mergeCell ref="D45:F45"/>
    <mergeCell ref="F34:G34"/>
    <mergeCell ref="H34:I34"/>
    <mergeCell ref="J34:K34"/>
    <mergeCell ref="H35:I35"/>
    <mergeCell ref="J35:K35"/>
    <mergeCell ref="J36:K36"/>
    <mergeCell ref="K42:L42"/>
    <mergeCell ref="J37:K37"/>
    <mergeCell ref="G38:J38"/>
    <mergeCell ref="K38:L38"/>
    <mergeCell ref="G39:J39"/>
    <mergeCell ref="K39:L39"/>
    <mergeCell ref="G40:J40"/>
    <mergeCell ref="K40:L40"/>
    <mergeCell ref="G41:J41"/>
    <mergeCell ref="K41:L41"/>
    <mergeCell ref="D42:F42"/>
    <mergeCell ref="D37:E37"/>
    <mergeCell ref="F37:G37"/>
    <mergeCell ref="D36:E36"/>
    <mergeCell ref="F36:G36"/>
    <mergeCell ref="D53:F53"/>
    <mergeCell ref="D54:F54"/>
    <mergeCell ref="D46:F46"/>
    <mergeCell ref="D47:F47"/>
    <mergeCell ref="D48:F48"/>
    <mergeCell ref="D49:F49"/>
    <mergeCell ref="D50:F50"/>
    <mergeCell ref="D51:F51"/>
    <mergeCell ref="D52:F52"/>
    <mergeCell ref="B38:C47"/>
    <mergeCell ref="D38:F38"/>
    <mergeCell ref="D39:F39"/>
    <mergeCell ref="D40:F40"/>
    <mergeCell ref="D41:F41"/>
    <mergeCell ref="G42:J42"/>
    <mergeCell ref="B28:C37"/>
    <mergeCell ref="D28:E28"/>
    <mergeCell ref="F28:G28"/>
    <mergeCell ref="D29:E29"/>
    <mergeCell ref="F29:G29"/>
    <mergeCell ref="H36:I36"/>
    <mergeCell ref="H37:I37"/>
    <mergeCell ref="D30:E30"/>
    <mergeCell ref="J33:K33"/>
    <mergeCell ref="D34:E34"/>
    <mergeCell ref="K43:L43"/>
    <mergeCell ref="G47:J47"/>
    <mergeCell ref="K47:L47"/>
    <mergeCell ref="H29:I29"/>
    <mergeCell ref="J29:K29"/>
    <mergeCell ref="L30:M30"/>
    <mergeCell ref="L31:M31"/>
    <mergeCell ref="L32:M32"/>
    <mergeCell ref="G19:H19"/>
    <mergeCell ref="I19:J19"/>
    <mergeCell ref="K19:L19"/>
    <mergeCell ref="D26:F26"/>
    <mergeCell ref="G26:H26"/>
    <mergeCell ref="I26:J26"/>
    <mergeCell ref="K26:L26"/>
    <mergeCell ref="D20:F20"/>
    <mergeCell ref="G20:H20"/>
    <mergeCell ref="I20:J20"/>
    <mergeCell ref="K20:L20"/>
    <mergeCell ref="D21:F21"/>
    <mergeCell ref="G21:H21"/>
    <mergeCell ref="I21:J21"/>
    <mergeCell ref="K21:L21"/>
    <mergeCell ref="D22:F22"/>
    <mergeCell ref="G22:H22"/>
    <mergeCell ref="I22:J22"/>
    <mergeCell ref="K22:L22"/>
    <mergeCell ref="M19:P19"/>
    <mergeCell ref="M20:P20"/>
    <mergeCell ref="M21:P21"/>
    <mergeCell ref="M22:P22"/>
    <mergeCell ref="M23:P23"/>
    <mergeCell ref="D35:E35"/>
    <mergeCell ref="F35:G35"/>
    <mergeCell ref="K27:L27"/>
    <mergeCell ref="F30:G30"/>
    <mergeCell ref="H30:I30"/>
    <mergeCell ref="J30:K30"/>
    <mergeCell ref="D31:E31"/>
    <mergeCell ref="F31:G31"/>
    <mergeCell ref="H31:I31"/>
    <mergeCell ref="J31:K31"/>
    <mergeCell ref="D32:E32"/>
    <mergeCell ref="F32:G32"/>
    <mergeCell ref="H32:I32"/>
    <mergeCell ref="J32:K32"/>
    <mergeCell ref="D33:E33"/>
    <mergeCell ref="F33:G33"/>
    <mergeCell ref="H33:I33"/>
    <mergeCell ref="N29:P29"/>
    <mergeCell ref="L29:M29"/>
    <mergeCell ref="D16:P16"/>
    <mergeCell ref="M17:P18"/>
    <mergeCell ref="B2:P3"/>
    <mergeCell ref="B4:C4"/>
    <mergeCell ref="D4:P4"/>
    <mergeCell ref="B5:D5"/>
    <mergeCell ref="E5:P5"/>
    <mergeCell ref="B6:C7"/>
    <mergeCell ref="B8:C16"/>
    <mergeCell ref="D6:P7"/>
    <mergeCell ref="D8:P8"/>
    <mergeCell ref="D9:P9"/>
    <mergeCell ref="D10:P10"/>
    <mergeCell ref="D11:P11"/>
    <mergeCell ref="D12:P12"/>
    <mergeCell ref="D13:P13"/>
    <mergeCell ref="D14:P14"/>
    <mergeCell ref="D15:P15"/>
    <mergeCell ref="B17:C27"/>
    <mergeCell ref="D17:F18"/>
    <mergeCell ref="G17:H18"/>
    <mergeCell ref="I17:J18"/>
    <mergeCell ref="K17:L18"/>
    <mergeCell ref="D19:F19"/>
    <mergeCell ref="N36:P36"/>
    <mergeCell ref="M43:N43"/>
    <mergeCell ref="M44:N44"/>
    <mergeCell ref="M45:N45"/>
    <mergeCell ref="M46:N46"/>
    <mergeCell ref="M47:N47"/>
    <mergeCell ref="L36:M36"/>
    <mergeCell ref="L37:M37"/>
    <mergeCell ref="M38:N38"/>
    <mergeCell ref="M39:N39"/>
    <mergeCell ref="M40:N40"/>
    <mergeCell ref="M41:N41"/>
    <mergeCell ref="M42:N42"/>
    <mergeCell ref="O44:P44"/>
    <mergeCell ref="O45:P45"/>
    <mergeCell ref="O46:P46"/>
    <mergeCell ref="O47:P47"/>
    <mergeCell ref="N37:P37"/>
    <mergeCell ref="O38:P38"/>
    <mergeCell ref="O39:P39"/>
    <mergeCell ref="O40:P40"/>
    <mergeCell ref="O41:P41"/>
    <mergeCell ref="O42:P42"/>
    <mergeCell ref="O43:P43"/>
    <mergeCell ref="L33:M33"/>
    <mergeCell ref="L34:M34"/>
    <mergeCell ref="L35:M35"/>
    <mergeCell ref="N30:P30"/>
    <mergeCell ref="N31:P31"/>
    <mergeCell ref="N32:P32"/>
    <mergeCell ref="N33:P33"/>
    <mergeCell ref="N34:P34"/>
    <mergeCell ref="N35:P35"/>
    <mergeCell ref="M24:P24"/>
    <mergeCell ref="M25:P25"/>
    <mergeCell ref="M26:P26"/>
    <mergeCell ref="M27:P27"/>
    <mergeCell ref="L28:M28"/>
    <mergeCell ref="N28:P28"/>
    <mergeCell ref="D27:F27"/>
    <mergeCell ref="G27:H27"/>
    <mergeCell ref="I23:J23"/>
    <mergeCell ref="K23:L23"/>
    <mergeCell ref="D23:F23"/>
    <mergeCell ref="G23:H23"/>
    <mergeCell ref="D24:F24"/>
    <mergeCell ref="G24:H24"/>
    <mergeCell ref="I24:J24"/>
    <mergeCell ref="K24:L24"/>
    <mergeCell ref="D25:F25"/>
    <mergeCell ref="G25:H25"/>
    <mergeCell ref="I25:J25"/>
    <mergeCell ref="K25:L25"/>
    <mergeCell ref="I27:J27"/>
    <mergeCell ref="H28:I28"/>
    <mergeCell ref="J28:K28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CRONOGRAMA</vt:lpstr>
      <vt:lpstr>PLAN DE COMUNICACIÓN</vt:lpstr>
      <vt:lpstr>PLAN DE LOS INTERESADOS</vt:lpstr>
      <vt:lpstr>PLAN DE COSTOS </vt:lpstr>
      <vt:lpstr>PLAN DE CALIDAD</vt:lpstr>
      <vt:lpstr>PLAN DE RIESGOS - SEGURIDAD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Villavicencio</dc:creator>
  <cp:lastModifiedBy>Maria Elvira Hernandez Montoya</cp:lastModifiedBy>
  <cp:lastPrinted>2026-05-24T21:51:45Z</cp:lastPrinted>
  <dcterms:created xsi:type="dcterms:W3CDTF">2024-08-13T01:02:11Z</dcterms:created>
  <dcterms:modified xsi:type="dcterms:W3CDTF">2026-05-24T21:58:29Z</dcterms:modified>
</cp:coreProperties>
</file>